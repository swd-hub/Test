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fs.ad.pref.shimane.jp\農林水産部\東部農林水産振興センター　出雲事務所\農業普及部\R7\081畜産\01畜産振興\060飼料作物\稲WCS\斐川WCS\斐川町WCS生産協議会\総会資料\"/>
    </mc:Choice>
  </mc:AlternateContent>
  <xr:revisionPtr revIDLastSave="0" documentId="13_ncr:1_{B465BDB8-A91D-48BC-8ECA-D42B7DB02E8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データ" sheetId="2" r:id="rId1"/>
    <sheet name="集計" sheetId="3" r:id="rId2"/>
  </sheets>
  <definedNames>
    <definedName name="_xlnm._FilterDatabase" localSheetId="0" hidden="1">データ!$A$1:$U$205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F4" i="3" a="1"/>
  <c r="F4" i="3" s="1"/>
  <c r="G4" i="3" s="1"/>
  <c r="F5" i="3" a="1"/>
  <c r="F5" i="3" s="1"/>
  <c r="F6" i="3" a="1"/>
  <c r="F6" i="3" s="1"/>
  <c r="F7" i="3" a="1"/>
  <c r="F7" i="3" s="1"/>
  <c r="F8" i="3" a="1"/>
  <c r="F8" i="3"/>
  <c r="F9" i="3" a="1"/>
  <c r="F9" i="3"/>
  <c r="F10" i="3" a="1"/>
  <c r="F10" i="3" s="1"/>
  <c r="G10" i="3" s="1"/>
  <c r="F11" i="3" a="1"/>
  <c r="F11" i="3" s="1"/>
  <c r="F12" i="3" a="1"/>
  <c r="F12" i="3"/>
  <c r="G12" i="3" s="1"/>
  <c r="F13" i="3" a="1"/>
  <c r="F13" i="3" s="1"/>
  <c r="G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3" i="3" a="1"/>
  <c r="F3" i="3" s="1"/>
  <c r="L5" i="3" s="1" a="1"/>
  <c r="L5" i="3" s="1"/>
  <c r="D4" i="3" a="1"/>
  <c r="D4" i="3" s="1"/>
  <c r="D5" i="3" a="1"/>
  <c r="D5" i="3" s="1"/>
  <c r="D6" i="3" a="1"/>
  <c r="D6" i="3" s="1"/>
  <c r="D7" i="3" a="1"/>
  <c r="D7" i="3" s="1"/>
  <c r="D8" i="3" a="1"/>
  <c r="D8" i="3"/>
  <c r="D9" i="3" a="1"/>
  <c r="D9" i="3" s="1"/>
  <c r="D10" i="3" a="1"/>
  <c r="D10" i="3" s="1"/>
  <c r="D11" i="3" a="1"/>
  <c r="D11" i="3" s="1"/>
  <c r="D12" i="3" a="1"/>
  <c r="D12" i="3" s="1"/>
  <c r="D13" i="3" a="1"/>
  <c r="D13" i="3" s="1"/>
  <c r="D14" i="3" a="1"/>
  <c r="D14" i="3" s="1"/>
  <c r="D15" i="3" a="1"/>
  <c r="D15" i="3" s="1"/>
  <c r="D16" i="3" a="1"/>
  <c r="D16" i="3" s="1"/>
  <c r="G16" i="3" s="1"/>
  <c r="D17" i="3" a="1"/>
  <c r="D17" i="3" s="1"/>
  <c r="G17" i="3" s="1"/>
  <c r="D18" i="3" a="1"/>
  <c r="D18" i="3" s="1"/>
  <c r="D19" i="3" a="1"/>
  <c r="D19" i="3" s="1"/>
  <c r="D20" i="3" a="1"/>
  <c r="D20" i="3" s="1"/>
  <c r="D3" i="3" a="1"/>
  <c r="D3" i="3" s="1"/>
  <c r="L4" i="3" l="1" a="1"/>
  <c r="L4" i="3" s="1"/>
  <c r="L3" i="3" a="1"/>
  <c r="L3" i="3" s="1"/>
  <c r="L9" i="3" a="1"/>
  <c r="L9" i="3" s="1"/>
  <c r="G18" i="3"/>
  <c r="G8" i="3"/>
  <c r="L8" i="3" a="1"/>
  <c r="L8" i="3" s="1"/>
  <c r="G3" i="3"/>
  <c r="L7" i="3" a="1"/>
  <c r="L7" i="3" s="1"/>
  <c r="G19" i="3"/>
  <c r="G20" i="3"/>
  <c r="G9" i="3"/>
  <c r="L6" i="3" a="1"/>
  <c r="L6" i="3" s="1"/>
  <c r="G15" i="3"/>
  <c r="G14" i="3"/>
  <c r="G7" i="3"/>
  <c r="G6" i="3"/>
  <c r="G5" i="3"/>
  <c r="R3" i="2" l="1"/>
  <c r="S3" i="2" s="1"/>
  <c r="R4" i="2"/>
  <c r="S4" i="2" s="1"/>
  <c r="R5" i="2"/>
  <c r="S5" i="2" s="1"/>
  <c r="R6" i="2"/>
  <c r="S6" i="2" s="1"/>
  <c r="R7" i="2"/>
  <c r="S7" i="2" s="1"/>
  <c r="R8" i="2"/>
  <c r="S8" i="2" s="1"/>
  <c r="R9" i="2"/>
  <c r="S9" i="2" s="1"/>
  <c r="R10" i="2"/>
  <c r="S10" i="2" s="1"/>
  <c r="R11" i="2"/>
  <c r="S11" i="2" s="1"/>
  <c r="R12" i="2"/>
  <c r="S12" i="2" s="1"/>
  <c r="R13" i="2"/>
  <c r="S13" i="2" s="1"/>
  <c r="R14" i="2"/>
  <c r="S14" i="2" s="1"/>
  <c r="R15" i="2"/>
  <c r="S15" i="2" s="1"/>
  <c r="R16" i="2"/>
  <c r="S16" i="2" s="1"/>
  <c r="R17" i="2"/>
  <c r="S17" i="2" s="1"/>
  <c r="R18" i="2"/>
  <c r="S18" i="2" s="1"/>
  <c r="R19" i="2"/>
  <c r="S19" i="2" s="1"/>
  <c r="R20" i="2"/>
  <c r="S20" i="2" s="1"/>
  <c r="R21" i="2"/>
  <c r="S21" i="2" s="1"/>
  <c r="R22" i="2"/>
  <c r="S22" i="2" s="1"/>
  <c r="R23" i="2"/>
  <c r="S23" i="2" s="1"/>
  <c r="R24" i="2"/>
  <c r="S24" i="2" s="1"/>
  <c r="R25" i="2"/>
  <c r="S25" i="2" s="1"/>
  <c r="R26" i="2"/>
  <c r="S26" i="2" s="1"/>
  <c r="R27" i="2"/>
  <c r="S27" i="2" s="1"/>
  <c r="R28" i="2"/>
  <c r="S28" i="2" s="1"/>
  <c r="R29" i="2"/>
  <c r="S29" i="2" s="1"/>
  <c r="R30" i="2"/>
  <c r="S30" i="2" s="1"/>
  <c r="R31" i="2"/>
  <c r="S31" i="2" s="1"/>
  <c r="R32" i="2"/>
  <c r="S32" i="2" s="1"/>
  <c r="R33" i="2"/>
  <c r="S33" i="2" s="1"/>
  <c r="R34" i="2"/>
  <c r="S34" i="2" s="1"/>
  <c r="R35" i="2"/>
  <c r="S35" i="2" s="1"/>
  <c r="R36" i="2"/>
  <c r="S36" i="2" s="1"/>
  <c r="R37" i="2"/>
  <c r="S37" i="2" s="1"/>
  <c r="R38" i="2"/>
  <c r="S38" i="2" s="1"/>
  <c r="R39" i="2"/>
  <c r="S39" i="2" s="1"/>
  <c r="R40" i="2"/>
  <c r="S40" i="2" s="1"/>
  <c r="R41" i="2"/>
  <c r="S41" i="2" s="1"/>
  <c r="R42" i="2"/>
  <c r="S42" i="2" s="1"/>
  <c r="R43" i="2"/>
  <c r="S43" i="2" s="1"/>
  <c r="R44" i="2"/>
  <c r="S44" i="2" s="1"/>
  <c r="R45" i="2"/>
  <c r="S45" i="2" s="1"/>
  <c r="R46" i="2"/>
  <c r="S46" i="2" s="1"/>
  <c r="R47" i="2"/>
  <c r="S47" i="2" s="1"/>
  <c r="R48" i="2"/>
  <c r="S48" i="2" s="1"/>
  <c r="R49" i="2"/>
  <c r="S49" i="2" s="1"/>
  <c r="R50" i="2"/>
  <c r="S50" i="2" s="1"/>
  <c r="R51" i="2"/>
  <c r="S51" i="2" s="1"/>
  <c r="R52" i="2"/>
  <c r="S52" i="2" s="1"/>
  <c r="R53" i="2"/>
  <c r="S53" i="2" s="1"/>
  <c r="R54" i="2"/>
  <c r="S54" i="2" s="1"/>
  <c r="R55" i="2"/>
  <c r="S55" i="2" s="1"/>
  <c r="R56" i="2"/>
  <c r="S56" i="2" s="1"/>
  <c r="R57" i="2"/>
  <c r="S57" i="2" s="1"/>
  <c r="R58" i="2"/>
  <c r="S58" i="2" s="1"/>
  <c r="R59" i="2"/>
  <c r="S59" i="2" s="1"/>
  <c r="R60" i="2"/>
  <c r="S60" i="2" s="1"/>
  <c r="R61" i="2"/>
  <c r="S61" i="2" s="1"/>
  <c r="R62" i="2"/>
  <c r="S62" i="2" s="1"/>
  <c r="R63" i="2"/>
  <c r="S63" i="2" s="1"/>
  <c r="R64" i="2"/>
  <c r="S64" i="2" s="1"/>
  <c r="R65" i="2"/>
  <c r="S65" i="2" s="1"/>
  <c r="R66" i="2"/>
  <c r="S66" i="2" s="1"/>
  <c r="R67" i="2"/>
  <c r="S67" i="2" s="1"/>
  <c r="R68" i="2"/>
  <c r="S68" i="2" s="1"/>
  <c r="R69" i="2"/>
  <c r="S69" i="2" s="1"/>
  <c r="R70" i="2"/>
  <c r="S70" i="2" s="1"/>
  <c r="R71" i="2"/>
  <c r="S71" i="2" s="1"/>
  <c r="R72" i="2"/>
  <c r="S72" i="2" s="1"/>
  <c r="R73" i="2"/>
  <c r="S73" i="2" s="1"/>
  <c r="R74" i="2"/>
  <c r="S74" i="2" s="1"/>
  <c r="R75" i="2"/>
  <c r="S75" i="2" s="1"/>
  <c r="R76" i="2"/>
  <c r="S76" i="2" s="1"/>
  <c r="R77" i="2"/>
  <c r="S77" i="2" s="1"/>
  <c r="R78" i="2"/>
  <c r="S78" i="2" s="1"/>
  <c r="R79" i="2"/>
  <c r="S79" i="2" s="1"/>
  <c r="R80" i="2"/>
  <c r="S80" i="2" s="1"/>
  <c r="R81" i="2"/>
  <c r="S81" i="2" s="1"/>
  <c r="R82" i="2"/>
  <c r="S82" i="2" s="1"/>
  <c r="R83" i="2"/>
  <c r="S83" i="2" s="1"/>
  <c r="R84" i="2"/>
  <c r="S84" i="2" s="1"/>
  <c r="R85" i="2"/>
  <c r="S85" i="2" s="1"/>
  <c r="R86" i="2"/>
  <c r="S86" i="2" s="1"/>
  <c r="R87" i="2"/>
  <c r="S87" i="2" s="1"/>
  <c r="R88" i="2"/>
  <c r="S88" i="2" s="1"/>
  <c r="R89" i="2"/>
  <c r="S89" i="2" s="1"/>
  <c r="R90" i="2"/>
  <c r="S90" i="2" s="1"/>
  <c r="R91" i="2"/>
  <c r="S91" i="2" s="1"/>
  <c r="R92" i="2"/>
  <c r="S92" i="2" s="1"/>
  <c r="R93" i="2"/>
  <c r="S93" i="2" s="1"/>
  <c r="R94" i="2"/>
  <c r="S94" i="2" s="1"/>
  <c r="R95" i="2"/>
  <c r="S95" i="2" s="1"/>
  <c r="R96" i="2"/>
  <c r="S96" i="2" s="1"/>
  <c r="R97" i="2"/>
  <c r="S97" i="2" s="1"/>
  <c r="R98" i="2"/>
  <c r="S98" i="2" s="1"/>
  <c r="R99" i="2"/>
  <c r="S99" i="2" s="1"/>
  <c r="R100" i="2"/>
  <c r="S100" i="2" s="1"/>
  <c r="R101" i="2"/>
  <c r="S101" i="2" s="1"/>
  <c r="R102" i="2"/>
  <c r="S102" i="2" s="1"/>
  <c r="R103" i="2"/>
  <c r="S103" i="2" s="1"/>
  <c r="R104" i="2"/>
  <c r="S104" i="2" s="1"/>
  <c r="R105" i="2"/>
  <c r="S105" i="2" s="1"/>
  <c r="R106" i="2"/>
  <c r="S106" i="2" s="1"/>
  <c r="R107" i="2"/>
  <c r="S107" i="2" s="1"/>
  <c r="R108" i="2"/>
  <c r="S108" i="2" s="1"/>
  <c r="R109" i="2"/>
  <c r="S109" i="2" s="1"/>
  <c r="R110" i="2"/>
  <c r="S110" i="2" s="1"/>
  <c r="R111" i="2"/>
  <c r="S111" i="2" s="1"/>
  <c r="R112" i="2"/>
  <c r="S112" i="2" s="1"/>
  <c r="R113" i="2"/>
  <c r="S113" i="2" s="1"/>
  <c r="R114" i="2"/>
  <c r="S114" i="2" s="1"/>
  <c r="R115" i="2"/>
  <c r="S115" i="2" s="1"/>
  <c r="R116" i="2"/>
  <c r="S116" i="2" s="1"/>
  <c r="R117" i="2"/>
  <c r="S117" i="2" s="1"/>
  <c r="R118" i="2"/>
  <c r="S118" i="2" s="1"/>
  <c r="R119" i="2"/>
  <c r="S119" i="2" s="1"/>
  <c r="R120" i="2"/>
  <c r="S120" i="2" s="1"/>
  <c r="R121" i="2"/>
  <c r="S121" i="2" s="1"/>
  <c r="R122" i="2"/>
  <c r="S122" i="2" s="1"/>
  <c r="R123" i="2"/>
  <c r="S123" i="2" s="1"/>
  <c r="R124" i="2"/>
  <c r="S124" i="2" s="1"/>
  <c r="R125" i="2"/>
  <c r="S125" i="2" s="1"/>
  <c r="R126" i="2"/>
  <c r="S126" i="2" s="1"/>
  <c r="R127" i="2"/>
  <c r="S127" i="2" s="1"/>
  <c r="R128" i="2"/>
  <c r="S128" i="2" s="1"/>
  <c r="R129" i="2"/>
  <c r="S129" i="2" s="1"/>
  <c r="R130" i="2"/>
  <c r="S130" i="2" s="1"/>
  <c r="R131" i="2"/>
  <c r="S131" i="2" s="1"/>
  <c r="R132" i="2"/>
  <c r="S132" i="2" s="1"/>
  <c r="R133" i="2"/>
  <c r="S133" i="2" s="1"/>
  <c r="R134" i="2"/>
  <c r="S134" i="2" s="1"/>
  <c r="R135" i="2"/>
  <c r="S135" i="2" s="1"/>
  <c r="R136" i="2"/>
  <c r="S136" i="2" s="1"/>
  <c r="R137" i="2"/>
  <c r="S137" i="2" s="1"/>
  <c r="R138" i="2"/>
  <c r="S138" i="2" s="1"/>
  <c r="R139" i="2"/>
  <c r="S139" i="2" s="1"/>
  <c r="R140" i="2"/>
  <c r="S140" i="2" s="1"/>
  <c r="R141" i="2"/>
  <c r="S141" i="2" s="1"/>
  <c r="R142" i="2"/>
  <c r="S142" i="2" s="1"/>
  <c r="R143" i="2"/>
  <c r="S143" i="2" s="1"/>
  <c r="R144" i="2"/>
  <c r="S144" i="2" s="1"/>
  <c r="R145" i="2"/>
  <c r="S145" i="2" s="1"/>
  <c r="R146" i="2"/>
  <c r="S146" i="2" s="1"/>
  <c r="R147" i="2"/>
  <c r="S147" i="2" s="1"/>
  <c r="R148" i="2"/>
  <c r="S148" i="2" s="1"/>
  <c r="R149" i="2"/>
  <c r="S149" i="2" s="1"/>
  <c r="R150" i="2"/>
  <c r="S150" i="2" s="1"/>
  <c r="R151" i="2"/>
  <c r="S151" i="2" s="1"/>
  <c r="R152" i="2"/>
  <c r="S152" i="2" s="1"/>
  <c r="R153" i="2"/>
  <c r="S153" i="2" s="1"/>
  <c r="R154" i="2"/>
  <c r="S154" i="2" s="1"/>
  <c r="R155" i="2"/>
  <c r="S155" i="2" s="1"/>
  <c r="R156" i="2"/>
  <c r="S156" i="2" s="1"/>
  <c r="R157" i="2"/>
  <c r="S157" i="2" s="1"/>
  <c r="R158" i="2"/>
  <c r="S158" i="2" s="1"/>
  <c r="R159" i="2"/>
  <c r="S159" i="2" s="1"/>
  <c r="R160" i="2"/>
  <c r="S160" i="2" s="1"/>
  <c r="R161" i="2"/>
  <c r="S161" i="2" s="1"/>
  <c r="R162" i="2"/>
  <c r="S162" i="2" s="1"/>
  <c r="R163" i="2"/>
  <c r="S163" i="2" s="1"/>
  <c r="R164" i="2"/>
  <c r="S164" i="2" s="1"/>
  <c r="R165" i="2"/>
  <c r="S165" i="2" s="1"/>
  <c r="R166" i="2"/>
  <c r="S166" i="2" s="1"/>
  <c r="R167" i="2"/>
  <c r="S167" i="2" s="1"/>
  <c r="R168" i="2"/>
  <c r="S168" i="2" s="1"/>
  <c r="R169" i="2"/>
  <c r="S169" i="2" s="1"/>
  <c r="R170" i="2"/>
  <c r="S170" i="2" s="1"/>
  <c r="R171" i="2"/>
  <c r="S171" i="2" s="1"/>
  <c r="R172" i="2"/>
  <c r="S172" i="2" s="1"/>
  <c r="R173" i="2"/>
  <c r="S173" i="2" s="1"/>
  <c r="R174" i="2"/>
  <c r="S174" i="2" s="1"/>
  <c r="R175" i="2"/>
  <c r="S175" i="2" s="1"/>
  <c r="R176" i="2"/>
  <c r="S176" i="2" s="1"/>
  <c r="R177" i="2"/>
  <c r="S177" i="2" s="1"/>
  <c r="R178" i="2"/>
  <c r="S178" i="2" s="1"/>
  <c r="R179" i="2"/>
  <c r="S179" i="2" s="1"/>
  <c r="R180" i="2"/>
  <c r="S180" i="2" s="1"/>
  <c r="R181" i="2"/>
  <c r="S181" i="2" s="1"/>
  <c r="R182" i="2"/>
  <c r="S182" i="2" s="1"/>
  <c r="R183" i="2"/>
  <c r="S183" i="2" s="1"/>
  <c r="R184" i="2"/>
  <c r="S184" i="2" s="1"/>
  <c r="R185" i="2"/>
  <c r="S185" i="2" s="1"/>
  <c r="R186" i="2"/>
  <c r="S186" i="2" s="1"/>
  <c r="R187" i="2"/>
  <c r="S187" i="2" s="1"/>
  <c r="R188" i="2"/>
  <c r="S188" i="2" s="1"/>
  <c r="R189" i="2"/>
  <c r="S189" i="2" s="1"/>
  <c r="R190" i="2"/>
  <c r="S190" i="2" s="1"/>
  <c r="R191" i="2"/>
  <c r="S191" i="2" s="1"/>
  <c r="R192" i="2"/>
  <c r="S192" i="2" s="1"/>
  <c r="R193" i="2"/>
  <c r="S193" i="2" s="1"/>
  <c r="R194" i="2"/>
  <c r="S194" i="2" s="1"/>
  <c r="R195" i="2"/>
  <c r="S195" i="2" s="1"/>
  <c r="R196" i="2"/>
  <c r="S196" i="2" s="1"/>
  <c r="R197" i="2"/>
  <c r="S197" i="2" s="1"/>
  <c r="R198" i="2"/>
  <c r="S198" i="2" s="1"/>
  <c r="R199" i="2"/>
  <c r="S199" i="2" s="1"/>
  <c r="R200" i="2"/>
  <c r="S200" i="2" s="1"/>
  <c r="R201" i="2"/>
  <c r="S201" i="2" s="1"/>
  <c r="R202" i="2"/>
  <c r="S202" i="2" s="1"/>
  <c r="R203" i="2"/>
  <c r="S203" i="2" s="1"/>
  <c r="R204" i="2"/>
  <c r="S204" i="2" s="1"/>
  <c r="R2" i="2"/>
  <c r="S2" i="2" s="1"/>
  <c r="I205" i="2" l="1"/>
  <c r="H205" i="2"/>
  <c r="G20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sgis.dt</author>
  </authors>
  <commentList>
    <comment ref="A1" authorId="0" shapeId="0" xr:uid="{00000000-0006-0000-0000-000001000000}">
      <text>
        <r>
          <rPr>
            <sz val="8"/>
            <color rgb="FF000000"/>
            <rFont val="Tahoma"/>
            <family val="2"/>
          </rPr>
          <t>[{"Color":{"knownColor":0,"name":null,"state":2,"value":2969501696},"Description":"錦織農園","HatchStyle":-1},{"Color":{"knownColor":0,"name":null,"state":2,"value":2969523456},"Description":"猿木秀樹","HatchStyle":-1},{"Color":{"knownColor":0,"name":null,"state":2,"value":2969545216},"Description":"ファーム碇下","HatchStyle":-1},{"Color":{"knownColor":0,"name":null,"state":2,"value":2969566976},"Description":"ｸﾞﾘｰﾝｻﾎﾟｰﾄ斐川","HatchStyle":-1},{"Color":{"knownColor":0,"name":null,"state":2,"value":2963996501},"Description":"おきす","HatchStyle":-1},{"Color":{"knownColor":0,"name":null,"state":2,"value":2958426026},"Description":"あっとふぁーむ黒目","HatchStyle":-1},{"Color":{"knownColor":0,"name":null,"state":2,"value":2952855551},"Description":"アグリードいずも","HatchStyle":-1}]
[{"Key":"PolygonDisplayMode","Value":"True"},{"Key":"Zoom","Value":"16"},{"Key":"Center","Value":"35.4005027696704,132.802753150464"},{"Key":"Label","Value":"0,0,0,0,47,4,False"}]</t>
        </r>
      </text>
    </comment>
    <comment ref="A2" authorId="0" shapeId="0" xr:uid="{00000000-0006-0000-0000-00000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3" authorId="0" shapeId="0" xr:uid="{00000000-0006-0000-0000-00000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4" authorId="0" shapeId="0" xr:uid="{00000000-0006-0000-0000-00000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5" authorId="0" shapeId="0" xr:uid="{00000000-0006-0000-0000-00000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6" authorId="0" shapeId="0" xr:uid="{00000000-0006-0000-0000-00000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7" authorId="0" shapeId="0" xr:uid="{00000000-0006-0000-0000-00000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8" authorId="0" shapeId="0" xr:uid="{00000000-0006-0000-0000-00000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9" authorId="0" shapeId="0" xr:uid="{00000000-0006-0000-0000-00000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0" authorId="0" shapeId="0" xr:uid="{00000000-0006-0000-0000-00000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1" authorId="0" shapeId="0" xr:uid="{00000000-0006-0000-0000-00000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2" authorId="0" shapeId="0" xr:uid="{00000000-0006-0000-0000-00000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3" authorId="0" shapeId="0" xr:uid="{00000000-0006-0000-0000-00000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4" authorId="0" shapeId="0" xr:uid="{00000000-0006-0000-0000-00000E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5" authorId="0" shapeId="0" xr:uid="{00000000-0006-0000-0000-00000F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6" authorId="0" shapeId="0" xr:uid="{00000000-0006-0000-0000-000010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7" authorId="0" shapeId="0" xr:uid="{00000000-0006-0000-0000-000011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8" authorId="0" shapeId="0" xr:uid="{00000000-0006-0000-0000-00001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9" authorId="0" shapeId="0" xr:uid="{00000000-0006-0000-0000-00001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0" authorId="0" shapeId="0" xr:uid="{00000000-0006-0000-0000-00001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1" authorId="0" shapeId="0" xr:uid="{00000000-0006-0000-0000-00001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2" authorId="0" shapeId="0" xr:uid="{00000000-0006-0000-0000-00001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3" authorId="0" shapeId="0" xr:uid="{00000000-0006-0000-0000-00001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4" authorId="0" shapeId="0" xr:uid="{00000000-0006-0000-0000-00001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5" authorId="0" shapeId="0" xr:uid="{00000000-0006-0000-0000-00001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6" authorId="0" shapeId="0" xr:uid="{00000000-0006-0000-0000-00001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7" authorId="0" shapeId="0" xr:uid="{00000000-0006-0000-0000-00001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8" authorId="0" shapeId="0" xr:uid="{00000000-0006-0000-0000-00001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9" authorId="0" shapeId="0" xr:uid="{00000000-0006-0000-0000-00001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30" authorId="0" shapeId="0" xr:uid="{00000000-0006-0000-0000-00001E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31" authorId="0" shapeId="0" xr:uid="{00000000-0006-0000-0000-00001F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32" authorId="0" shapeId="0" xr:uid="{00000000-0006-0000-0000-000020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33" authorId="0" shapeId="0" xr:uid="{00000000-0006-0000-0000-000021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34" authorId="0" shapeId="0" xr:uid="{00000000-0006-0000-0000-00002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35" authorId="0" shapeId="0" xr:uid="{00000000-0006-0000-0000-00002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36" authorId="0" shapeId="0" xr:uid="{00000000-0006-0000-0000-00002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37" authorId="0" shapeId="0" xr:uid="{00000000-0006-0000-0000-00002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38" authorId="0" shapeId="0" xr:uid="{00000000-0006-0000-0000-00002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39" authorId="0" shapeId="0" xr:uid="{00000000-0006-0000-0000-00002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40" authorId="0" shapeId="0" xr:uid="{00000000-0006-0000-0000-00002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41" authorId="0" shapeId="0" xr:uid="{00000000-0006-0000-0000-00002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42" authorId="0" shapeId="0" xr:uid="{00000000-0006-0000-0000-00002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43" authorId="0" shapeId="0" xr:uid="{00000000-0006-0000-0000-00002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44" authorId="0" shapeId="0" xr:uid="{00000000-0006-0000-0000-00002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46" authorId="0" shapeId="0" xr:uid="{00000000-0006-0000-0000-00002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47" authorId="0" shapeId="0" xr:uid="{00000000-0006-0000-0000-00002E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48" authorId="0" shapeId="0" xr:uid="{00000000-0006-0000-0000-00002F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49" authorId="0" shapeId="0" xr:uid="{00000000-0006-0000-0000-000030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50" authorId="0" shapeId="0" xr:uid="{00000000-0006-0000-0000-000031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51" authorId="0" shapeId="0" xr:uid="{00000000-0006-0000-0000-00003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52" authorId="0" shapeId="0" xr:uid="{00000000-0006-0000-0000-00003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53" authorId="0" shapeId="0" xr:uid="{00000000-0006-0000-0000-00003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54" authorId="0" shapeId="0" xr:uid="{00000000-0006-0000-0000-00003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55" authorId="0" shapeId="0" xr:uid="{00000000-0006-0000-0000-00003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56" authorId="0" shapeId="0" xr:uid="{00000000-0006-0000-0000-00003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57" authorId="0" shapeId="0" xr:uid="{00000000-0006-0000-0000-00003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58" authorId="0" shapeId="0" xr:uid="{00000000-0006-0000-0000-00003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59" authorId="0" shapeId="0" xr:uid="{00000000-0006-0000-0000-00003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60" authorId="0" shapeId="0" xr:uid="{00000000-0006-0000-0000-00003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61" authorId="0" shapeId="0" xr:uid="{00000000-0006-0000-0000-00003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62" authorId="0" shapeId="0" xr:uid="{00000000-0006-0000-0000-00003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63" authorId="0" shapeId="0" xr:uid="{00000000-0006-0000-0000-00003E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64" authorId="0" shapeId="0" xr:uid="{00000000-0006-0000-0000-00003F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65" authorId="0" shapeId="0" xr:uid="{00000000-0006-0000-0000-000040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66" authorId="0" shapeId="0" xr:uid="{00000000-0006-0000-0000-000041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67" authorId="0" shapeId="0" xr:uid="{00000000-0006-0000-0000-00004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68" authorId="0" shapeId="0" xr:uid="{00000000-0006-0000-0000-00004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69" authorId="0" shapeId="0" xr:uid="{00000000-0006-0000-0000-00004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70" authorId="0" shapeId="0" xr:uid="{00000000-0006-0000-0000-00004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71" authorId="0" shapeId="0" xr:uid="{00000000-0006-0000-0000-00004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72" authorId="0" shapeId="0" xr:uid="{00000000-0006-0000-0000-00004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73" authorId="0" shapeId="0" xr:uid="{00000000-0006-0000-0000-00004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74" authorId="0" shapeId="0" xr:uid="{00000000-0006-0000-0000-00004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75" authorId="0" shapeId="0" xr:uid="{00000000-0006-0000-0000-00004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76" authorId="0" shapeId="0" xr:uid="{00000000-0006-0000-0000-00004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77" authorId="0" shapeId="0" xr:uid="{00000000-0006-0000-0000-00004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78" authorId="0" shapeId="0" xr:uid="{00000000-0006-0000-0000-00004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79" authorId="0" shapeId="0" xr:uid="{00000000-0006-0000-0000-00004E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80" authorId="0" shapeId="0" xr:uid="{00000000-0006-0000-0000-00004F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81" authorId="0" shapeId="0" xr:uid="{00000000-0006-0000-0000-000050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82" authorId="0" shapeId="0" xr:uid="{00000000-0006-0000-0000-000051000000}">
      <text>
        <r>
          <rPr>
            <sz val="8"/>
            <color rgb="FF000000"/>
            <rFont val="Tahoma"/>
            <family val="2"/>
          </rPr>
          <t>+#9400a2f3</t>
        </r>
      </text>
    </comment>
    <comment ref="A83" authorId="0" shapeId="0" xr:uid="{00000000-0006-0000-0000-00005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84" authorId="0" shapeId="0" xr:uid="{00000000-0006-0000-0000-00005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85" authorId="0" shapeId="0" xr:uid="{00000000-0006-0000-0000-00005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86" authorId="0" shapeId="0" xr:uid="{00000000-0006-0000-0000-00005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87" authorId="0" shapeId="0" xr:uid="{00000000-0006-0000-0000-00005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88" authorId="0" shapeId="0" xr:uid="{00000000-0006-0000-0000-00005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89" authorId="0" shapeId="0" xr:uid="{00000000-0006-0000-0000-00005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90" authorId="0" shapeId="0" xr:uid="{00000000-0006-0000-0000-00005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91" authorId="0" shapeId="0" xr:uid="{00000000-0006-0000-0000-00005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92" authorId="0" shapeId="0" xr:uid="{00000000-0006-0000-0000-00005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93" authorId="0" shapeId="0" xr:uid="{00000000-0006-0000-0000-00005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94" authorId="0" shapeId="0" xr:uid="{00000000-0006-0000-0000-00005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95" authorId="0" shapeId="0" xr:uid="{00000000-0006-0000-0000-00005E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96" authorId="0" shapeId="0" xr:uid="{00000000-0006-0000-0000-00005F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97" authorId="0" shapeId="0" xr:uid="{00000000-0006-0000-0000-000060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98" authorId="0" shapeId="0" xr:uid="{00000000-0006-0000-0000-000061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99" authorId="0" shapeId="0" xr:uid="{00000000-0006-0000-0000-00006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00" authorId="0" shapeId="0" xr:uid="{00000000-0006-0000-0000-00006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01" authorId="0" shapeId="0" xr:uid="{00000000-0006-0000-0000-00006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02" authorId="0" shapeId="0" xr:uid="{00000000-0006-0000-0000-00006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03" authorId="0" shapeId="0" xr:uid="{00000000-0006-0000-0000-00006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04" authorId="0" shapeId="0" xr:uid="{00000000-0006-0000-0000-00006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05" authorId="0" shapeId="0" xr:uid="{00000000-0006-0000-0000-00006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06" authorId="0" shapeId="0" xr:uid="{00000000-0006-0000-0000-00006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07" authorId="0" shapeId="0" xr:uid="{00000000-0006-0000-0000-00006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08" authorId="0" shapeId="0" xr:uid="{00000000-0006-0000-0000-00006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09" authorId="0" shapeId="0" xr:uid="{00000000-0006-0000-0000-00006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10" authorId="0" shapeId="0" xr:uid="{00000000-0006-0000-0000-00006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11" authorId="0" shapeId="0" xr:uid="{00000000-0006-0000-0000-00006E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12" authorId="0" shapeId="0" xr:uid="{00000000-0006-0000-0000-00006F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13" authorId="0" shapeId="0" xr:uid="{00000000-0006-0000-0000-000070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14" authorId="0" shapeId="0" xr:uid="{00000000-0006-0000-0000-000071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15" authorId="0" shapeId="0" xr:uid="{00000000-0006-0000-0000-00007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16" authorId="0" shapeId="0" xr:uid="{00000000-0006-0000-0000-00007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17" authorId="0" shapeId="0" xr:uid="{00000000-0006-0000-0000-00007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18" authorId="0" shapeId="0" xr:uid="{00000000-0006-0000-0000-00007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19" authorId="0" shapeId="0" xr:uid="{00000000-0006-0000-0000-00007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20" authorId="0" shapeId="0" xr:uid="{00000000-0006-0000-0000-00007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21" authorId="0" shapeId="0" xr:uid="{00000000-0006-0000-0000-00007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22" authorId="0" shapeId="0" xr:uid="{00000000-0006-0000-0000-00007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23" authorId="0" shapeId="0" xr:uid="{00000000-0006-0000-0000-00007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24" authorId="0" shapeId="0" xr:uid="{00000000-0006-0000-0000-00007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25" authorId="0" shapeId="0" xr:uid="{00000000-0006-0000-0000-00007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26" authorId="0" shapeId="0" xr:uid="{00000000-0006-0000-0000-00007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27" authorId="0" shapeId="0" xr:uid="{00000000-0006-0000-0000-00007E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28" authorId="0" shapeId="0" xr:uid="{00000000-0006-0000-0000-00007F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29" authorId="0" shapeId="0" xr:uid="{00000000-0006-0000-0000-000080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30" authorId="0" shapeId="0" xr:uid="{00000000-0006-0000-0000-000081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31" authorId="0" shapeId="0" xr:uid="{00000000-0006-0000-0000-00008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32" authorId="0" shapeId="0" xr:uid="{00000000-0006-0000-0000-00008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33" authorId="0" shapeId="0" xr:uid="{00000000-0006-0000-0000-00008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34" authorId="0" shapeId="0" xr:uid="{00000000-0006-0000-0000-00008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35" authorId="0" shapeId="0" xr:uid="{00000000-0006-0000-0000-00008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36" authorId="0" shapeId="0" xr:uid="{00000000-0006-0000-0000-00008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37" authorId="0" shapeId="0" xr:uid="{00000000-0006-0000-0000-00008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38" authorId="0" shapeId="0" xr:uid="{00000000-0006-0000-0000-00008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39" authorId="0" shapeId="0" xr:uid="{00000000-0006-0000-0000-00008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40" authorId="0" shapeId="0" xr:uid="{00000000-0006-0000-0000-00008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41" authorId="0" shapeId="0" xr:uid="{00000000-0006-0000-0000-00008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42" authorId="0" shapeId="0" xr:uid="{00000000-0006-0000-0000-00008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43" authorId="0" shapeId="0" xr:uid="{00000000-0006-0000-0000-00008E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44" authorId="0" shapeId="0" xr:uid="{00000000-0006-0000-0000-00008F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45" authorId="0" shapeId="0" xr:uid="{00000000-0006-0000-0000-000090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46" authorId="0" shapeId="0" xr:uid="{00000000-0006-0000-0000-000091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47" authorId="0" shapeId="0" xr:uid="{00000000-0006-0000-0000-00009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48" authorId="0" shapeId="0" xr:uid="{00000000-0006-0000-0000-00009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49" authorId="0" shapeId="0" xr:uid="{00000000-0006-0000-0000-00009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50" authorId="0" shapeId="0" xr:uid="{00000000-0006-0000-0000-00009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51" authorId="0" shapeId="0" xr:uid="{00000000-0006-0000-0000-00009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52" authorId="0" shapeId="0" xr:uid="{00000000-0006-0000-0000-00009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53" authorId="0" shapeId="0" xr:uid="{00000000-0006-0000-0000-00009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54" authorId="0" shapeId="0" xr:uid="{00000000-0006-0000-0000-00009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55" authorId="0" shapeId="0" xr:uid="{00000000-0006-0000-0000-00009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56" authorId="0" shapeId="0" xr:uid="{00000000-0006-0000-0000-00009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57" authorId="0" shapeId="0" xr:uid="{00000000-0006-0000-0000-00009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58" authorId="0" shapeId="0" xr:uid="{00000000-0006-0000-0000-00009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59" authorId="0" shapeId="0" xr:uid="{00000000-0006-0000-0000-00009E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60" authorId="0" shapeId="0" xr:uid="{00000000-0006-0000-0000-00009F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61" authorId="0" shapeId="0" xr:uid="{00000000-0006-0000-0000-0000A0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62" authorId="0" shapeId="0" xr:uid="{00000000-0006-0000-0000-0000A1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63" authorId="0" shapeId="0" xr:uid="{00000000-0006-0000-0000-0000A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64" authorId="0" shapeId="0" xr:uid="{00000000-0006-0000-0000-0000A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65" authorId="0" shapeId="0" xr:uid="{00000000-0006-0000-0000-0000A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66" authorId="0" shapeId="0" xr:uid="{00000000-0006-0000-0000-0000A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67" authorId="0" shapeId="0" xr:uid="{00000000-0006-0000-0000-0000A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68" authorId="0" shapeId="0" xr:uid="{00000000-0006-0000-0000-0000A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69" authorId="0" shapeId="0" xr:uid="{00000000-0006-0000-0000-0000A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70" authorId="0" shapeId="0" xr:uid="{00000000-0006-0000-0000-0000A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71" authorId="0" shapeId="0" xr:uid="{00000000-0006-0000-0000-0000A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72" authorId="0" shapeId="0" xr:uid="{00000000-0006-0000-0000-0000A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73" authorId="0" shapeId="0" xr:uid="{00000000-0006-0000-0000-0000A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74" authorId="0" shapeId="0" xr:uid="{00000000-0006-0000-0000-0000A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75" authorId="0" shapeId="0" xr:uid="{00000000-0006-0000-0000-0000AE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76" authorId="0" shapeId="0" xr:uid="{00000000-0006-0000-0000-0000AF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77" authorId="0" shapeId="0" xr:uid="{00000000-0006-0000-0000-0000B0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78" authorId="0" shapeId="0" xr:uid="{00000000-0006-0000-0000-0000B1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79" authorId="0" shapeId="0" xr:uid="{00000000-0006-0000-0000-0000B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80" authorId="0" shapeId="0" xr:uid="{00000000-0006-0000-0000-0000B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81" authorId="0" shapeId="0" xr:uid="{00000000-0006-0000-0000-0000B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82" authorId="0" shapeId="0" xr:uid="{00000000-0006-0000-0000-0000B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83" authorId="0" shapeId="0" xr:uid="{00000000-0006-0000-0000-0000B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84" authorId="0" shapeId="0" xr:uid="{00000000-0006-0000-0000-0000B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85" authorId="0" shapeId="0" xr:uid="{00000000-0006-0000-0000-0000B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86" authorId="0" shapeId="0" xr:uid="{00000000-0006-0000-0000-0000B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87" authorId="0" shapeId="0" xr:uid="{00000000-0006-0000-0000-0000B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88" authorId="0" shapeId="0" xr:uid="{00000000-0006-0000-0000-0000B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89" authorId="0" shapeId="0" xr:uid="{00000000-0006-0000-0000-0000B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90" authorId="0" shapeId="0" xr:uid="{00000000-0006-0000-0000-0000B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91" authorId="0" shapeId="0" xr:uid="{00000000-0006-0000-0000-0000BE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92" authorId="0" shapeId="0" xr:uid="{00000000-0006-0000-0000-0000BF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93" authorId="0" shapeId="0" xr:uid="{00000000-0006-0000-0000-0000C0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94" authorId="0" shapeId="0" xr:uid="{00000000-0006-0000-0000-0000C1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95" authorId="0" shapeId="0" xr:uid="{00000000-0006-0000-0000-0000C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96" authorId="0" shapeId="0" xr:uid="{00000000-0006-0000-0000-0000C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97" authorId="0" shapeId="0" xr:uid="{00000000-0006-0000-0000-0000C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98" authorId="0" shapeId="0" xr:uid="{00000000-0006-0000-0000-0000C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199" authorId="0" shapeId="0" xr:uid="{00000000-0006-0000-0000-0000C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00" authorId="0" shapeId="0" xr:uid="{00000000-0006-0000-0000-0000C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01" authorId="0" shapeId="0" xr:uid="{00000000-0006-0000-0000-0000C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02" authorId="0" shapeId="0" xr:uid="{00000000-0006-0000-0000-0000C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03" authorId="0" shapeId="0" xr:uid="{00000000-0006-0000-0000-0000C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04" authorId="0" shapeId="0" xr:uid="{00000000-0006-0000-0000-0000C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05" authorId="0" shapeId="0" xr:uid="{00000000-0006-0000-0000-0000C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06" authorId="0" shapeId="0" xr:uid="{00000000-0006-0000-0000-0000C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07" authorId="0" shapeId="0" xr:uid="{00000000-0006-0000-0000-0000CE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08" authorId="0" shapeId="0" xr:uid="{00000000-0006-0000-0000-0000CF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09" authorId="0" shapeId="0" xr:uid="{00000000-0006-0000-0000-0000D0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10" authorId="0" shapeId="0" xr:uid="{00000000-0006-0000-0000-0000D1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11" authorId="0" shapeId="0" xr:uid="{00000000-0006-0000-0000-0000D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12" authorId="0" shapeId="0" xr:uid="{00000000-0006-0000-0000-0000D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13" authorId="0" shapeId="0" xr:uid="{00000000-0006-0000-0000-0000D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14" authorId="0" shapeId="0" xr:uid="{00000000-0006-0000-0000-0000D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15" authorId="0" shapeId="0" xr:uid="{00000000-0006-0000-0000-0000D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16" authorId="0" shapeId="0" xr:uid="{00000000-0006-0000-0000-0000D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17" authorId="0" shapeId="0" xr:uid="{00000000-0006-0000-0000-0000D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18" authorId="0" shapeId="0" xr:uid="{00000000-0006-0000-0000-0000D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19" authorId="0" shapeId="0" xr:uid="{00000000-0006-0000-0000-0000D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20" authorId="0" shapeId="0" xr:uid="{00000000-0006-0000-0000-0000D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21" authorId="0" shapeId="0" xr:uid="{00000000-0006-0000-0000-0000D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22" authorId="0" shapeId="0" xr:uid="{00000000-0006-0000-0000-0000D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23" authorId="0" shapeId="0" xr:uid="{00000000-0006-0000-0000-0000DE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24" authorId="0" shapeId="0" xr:uid="{00000000-0006-0000-0000-0000DF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25" authorId="0" shapeId="0" xr:uid="{00000000-0006-0000-0000-0000E0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26" authorId="0" shapeId="0" xr:uid="{00000000-0006-0000-0000-0000E1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27" authorId="0" shapeId="0" xr:uid="{00000000-0006-0000-0000-0000E2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28" authorId="0" shapeId="0" xr:uid="{00000000-0006-0000-0000-0000E3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29" authorId="0" shapeId="0" xr:uid="{00000000-0006-0000-0000-0000E4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30" authorId="0" shapeId="0" xr:uid="{00000000-0006-0000-0000-0000E5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31" authorId="0" shapeId="0" xr:uid="{00000000-0006-0000-0000-0000E6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32" authorId="0" shapeId="0" xr:uid="{00000000-0006-0000-0000-0000E7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33" authorId="0" shapeId="0" xr:uid="{00000000-0006-0000-0000-0000E8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34" authorId="0" shapeId="0" xr:uid="{00000000-0006-0000-0000-0000E9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35" authorId="0" shapeId="0" xr:uid="{00000000-0006-0000-0000-0000EA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36" authorId="0" shapeId="0" xr:uid="{00000000-0006-0000-0000-0000EB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37" authorId="0" shapeId="0" xr:uid="{00000000-0006-0000-0000-0000EC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38" authorId="0" shapeId="0" xr:uid="{00000000-0006-0000-0000-0000ED000000}">
      <text>
        <r>
          <rPr>
            <sz val="8"/>
            <color rgb="FF000000"/>
            <rFont val="Tahoma"/>
            <family val="2"/>
          </rPr>
          <t>+#94ff0000</t>
        </r>
      </text>
    </comment>
    <comment ref="A239" authorId="0" shapeId="0" xr:uid="{00000000-0006-0000-0000-0000EE000000}">
      <text>
        <r>
          <rPr>
            <sz val="8"/>
            <color rgb="FF000000"/>
            <rFont val="Tahoma"/>
            <family val="2"/>
          </rPr>
          <t>+#94ff0000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<sst xmlns="http://schemas.openxmlformats.org/spreadsheetml/2006/main" count="1871" uniqueCount="678">
  <si>
    <t>.</t>
  </si>
  <si>
    <t>7/24</t>
    <phoneticPr fontId="2"/>
  </si>
  <si>
    <t>7/28</t>
  </si>
  <si>
    <t>7/28</t>
    <phoneticPr fontId="2"/>
  </si>
  <si>
    <t>7/22</t>
    <phoneticPr fontId="2"/>
  </si>
  <si>
    <t>7/23</t>
    <phoneticPr fontId="2"/>
  </si>
  <si>
    <t>7/25</t>
    <phoneticPr fontId="2"/>
  </si>
  <si>
    <t>7/26</t>
    <phoneticPr fontId="2"/>
  </si>
  <si>
    <t>7/18</t>
    <phoneticPr fontId="2"/>
  </si>
  <si>
    <t>7/29</t>
    <phoneticPr fontId="2"/>
  </si>
  <si>
    <t>7/31</t>
    <phoneticPr fontId="2"/>
  </si>
  <si>
    <t>8/2</t>
    <phoneticPr fontId="2"/>
  </si>
  <si>
    <t>8/6</t>
    <phoneticPr fontId="2"/>
  </si>
  <si>
    <t>8/7</t>
    <phoneticPr fontId="2"/>
  </si>
  <si>
    <t>8/29</t>
    <phoneticPr fontId="2"/>
  </si>
  <si>
    <t>9/1</t>
    <phoneticPr fontId="2"/>
  </si>
  <si>
    <t>8/23</t>
    <phoneticPr fontId="2"/>
  </si>
  <si>
    <t>8/19</t>
    <phoneticPr fontId="2"/>
  </si>
  <si>
    <t>8/25</t>
    <phoneticPr fontId="2"/>
  </si>
  <si>
    <t>8/21</t>
    <phoneticPr fontId="2"/>
  </si>
  <si>
    <t>8/26</t>
    <phoneticPr fontId="2"/>
  </si>
  <si>
    <t>9/5</t>
    <phoneticPr fontId="2"/>
  </si>
  <si>
    <t>9/6</t>
    <phoneticPr fontId="2"/>
  </si>
  <si>
    <t>8/27</t>
    <phoneticPr fontId="2"/>
  </si>
  <si>
    <t>8/28</t>
    <phoneticPr fontId="2"/>
  </si>
  <si>
    <t>9/29</t>
    <phoneticPr fontId="2"/>
  </si>
  <si>
    <t>9/25</t>
    <phoneticPr fontId="2"/>
  </si>
  <si>
    <t>9/24</t>
    <phoneticPr fontId="2"/>
  </si>
  <si>
    <t>9/23</t>
    <phoneticPr fontId="2"/>
  </si>
  <si>
    <t>9/19</t>
    <phoneticPr fontId="2"/>
  </si>
  <si>
    <t>9/20</t>
    <phoneticPr fontId="2"/>
  </si>
  <si>
    <t>9/22</t>
    <phoneticPr fontId="2"/>
  </si>
  <si>
    <t>9/26</t>
    <phoneticPr fontId="2"/>
  </si>
  <si>
    <t>9/30</t>
    <phoneticPr fontId="2"/>
  </si>
  <si>
    <t>9/27</t>
    <phoneticPr fontId="2"/>
  </si>
  <si>
    <t>9/28</t>
    <phoneticPr fontId="2"/>
  </si>
  <si>
    <t>10/10</t>
    <phoneticPr fontId="2"/>
  </si>
  <si>
    <t>10/12</t>
    <phoneticPr fontId="2"/>
  </si>
  <si>
    <t>10/13</t>
    <phoneticPr fontId="2"/>
  </si>
  <si>
    <t>10/15</t>
    <phoneticPr fontId="2"/>
  </si>
  <si>
    <t>10/17</t>
    <phoneticPr fontId="2"/>
  </si>
  <si>
    <t>10/23</t>
    <phoneticPr fontId="2"/>
  </si>
  <si>
    <t>10/27</t>
    <phoneticPr fontId="2"/>
  </si>
  <si>
    <t>10/28</t>
    <phoneticPr fontId="2"/>
  </si>
  <si>
    <t>11/4</t>
    <phoneticPr fontId="2"/>
  </si>
  <si>
    <t>10/9</t>
    <phoneticPr fontId="2"/>
  </si>
  <si>
    <t>10/11</t>
    <phoneticPr fontId="2"/>
  </si>
  <si>
    <t>10/29</t>
    <phoneticPr fontId="2"/>
  </si>
  <si>
    <t>10/30</t>
    <phoneticPr fontId="2"/>
  </si>
  <si>
    <t>10/14</t>
    <phoneticPr fontId="2"/>
  </si>
  <si>
    <t>10/1</t>
    <phoneticPr fontId="2"/>
  </si>
  <si>
    <t>10/21</t>
    <phoneticPr fontId="2"/>
  </si>
  <si>
    <t>10/20</t>
    <phoneticPr fontId="2"/>
  </si>
  <si>
    <t>10/25</t>
    <phoneticPr fontId="2"/>
  </si>
  <si>
    <t>10/22</t>
    <phoneticPr fontId="2"/>
  </si>
  <si>
    <t>4522</t>
    <phoneticPr fontId="2"/>
  </si>
  <si>
    <t>11/30</t>
    <phoneticPr fontId="2"/>
  </si>
  <si>
    <t>12/1</t>
    <phoneticPr fontId="2"/>
  </si>
  <si>
    <r>
      <t>12/1(24</t>
    </r>
    <r>
      <rPr>
        <sz val="11"/>
        <color rgb="FF000000"/>
        <rFont val="ＭＳ Ｐゴシック"/>
        <family val="2"/>
        <charset val="128"/>
      </rPr>
      <t>本）</t>
    </r>
    <rPh sb="6" eb="7">
      <t>ホン</t>
    </rPh>
    <phoneticPr fontId="2"/>
  </si>
  <si>
    <t>12/14</t>
    <phoneticPr fontId="2"/>
  </si>
  <si>
    <r>
      <t>12/14(11</t>
    </r>
    <r>
      <rPr>
        <sz val="11"/>
        <color rgb="FF000000"/>
        <rFont val="游ゴシック"/>
        <family val="2"/>
        <charset val="128"/>
      </rPr>
      <t>本）</t>
    </r>
    <rPh sb="7" eb="8">
      <t>ホン</t>
    </rPh>
    <phoneticPr fontId="2"/>
  </si>
  <si>
    <t>12/13</t>
    <phoneticPr fontId="2"/>
  </si>
  <si>
    <t>12/12</t>
    <phoneticPr fontId="2"/>
  </si>
  <si>
    <t>12/10</t>
    <phoneticPr fontId="2"/>
  </si>
  <si>
    <t>12/9</t>
    <phoneticPr fontId="2"/>
  </si>
  <si>
    <t>12/5</t>
    <phoneticPr fontId="2"/>
  </si>
  <si>
    <t>12/4</t>
    <phoneticPr fontId="2"/>
  </si>
  <si>
    <t>12/6</t>
    <phoneticPr fontId="2"/>
  </si>
  <si>
    <t>12/8</t>
    <phoneticPr fontId="2"/>
  </si>
  <si>
    <t>10/27</t>
  </si>
  <si>
    <t>10/28</t>
  </si>
  <si>
    <t>10/29</t>
  </si>
  <si>
    <t>10/21</t>
  </si>
  <si>
    <t>10/25</t>
  </si>
  <si>
    <t>10/30</t>
  </si>
  <si>
    <t>10/22</t>
  </si>
  <si>
    <t>8/21</t>
  </si>
  <si>
    <t>7/31</t>
  </si>
  <si>
    <t>8/2</t>
  </si>
  <si>
    <t>8/25</t>
  </si>
  <si>
    <t>7/24</t>
  </si>
  <si>
    <t>10/10</t>
  </si>
  <si>
    <t>11/4</t>
  </si>
  <si>
    <t>10/9</t>
  </si>
  <si>
    <t>10/11</t>
  </si>
  <si>
    <t>10/23</t>
  </si>
  <si>
    <t>10/17</t>
  </si>
  <si>
    <t>10/20</t>
  </si>
  <si>
    <t>8/19</t>
  </si>
  <si>
    <t>8/23</t>
  </si>
  <si>
    <t>7/18</t>
  </si>
  <si>
    <t>9/24</t>
  </si>
  <si>
    <t>7/23</t>
  </si>
  <si>
    <t>7/22</t>
  </si>
  <si>
    <t>9/23</t>
  </si>
  <si>
    <t>9/26</t>
  </si>
  <si>
    <t>9/27</t>
  </si>
  <si>
    <t>9/28</t>
  </si>
  <si>
    <t>9/19</t>
  </si>
  <si>
    <t>9/22</t>
  </si>
  <si>
    <t>9/20</t>
  </si>
  <si>
    <t>9/29</t>
  </si>
  <si>
    <t>9/25</t>
  </si>
  <si>
    <t>8/28</t>
  </si>
  <si>
    <t>8/27</t>
  </si>
  <si>
    <t>8/26</t>
  </si>
  <si>
    <t>10/14</t>
  </si>
  <si>
    <t>10/1</t>
  </si>
  <si>
    <t>9/30</t>
  </si>
  <si>
    <t>10/15</t>
  </si>
  <si>
    <t>10/12</t>
  </si>
  <si>
    <t>10/13</t>
  </si>
  <si>
    <t>8/29</t>
  </si>
  <si>
    <t>9/1</t>
  </si>
  <si>
    <t>8/20</t>
    <phoneticPr fontId="2"/>
  </si>
  <si>
    <t>8/4</t>
    <phoneticPr fontId="2"/>
  </si>
  <si>
    <t>8/1</t>
    <phoneticPr fontId="2"/>
  </si>
  <si>
    <t>8/30</t>
    <phoneticPr fontId="2"/>
  </si>
  <si>
    <t>ヒメノモチ</t>
    <phoneticPr fontId="2"/>
  </si>
  <si>
    <t>Polygon((132.82524079084435.4121572540504,132.82520055770935.4122534385822,132.8251147270235.4124392492844,132.82504230737735.4126316175601,132.82420009374635.4123780411004,132.82428056001735.4121944162694,132.82435834407835.4120348372075,132.82442003488535.4119167922186,132.82524079084435.4121572540504))</t>
  </si>
  <si>
    <t>Polygon((132.82616347074535.4130841183979,132.82511204481135.4127846374514,132.8252515196835.4124611093388,132.82535612583235.4122031603185,132.82641291618335.4124960854136,132.82629489898735.4127715214721,132.82616347074535.4130841183979))</t>
  </si>
  <si>
    <t>Polygon((132.82749116420735.4128043114164,132.82737314701135.4130819324097,132.8273758292235.4130841183979,132.82726049423235.4133748543105,132.82725781202335.4133748543105,132.82703518867535.4139519510595,132.82651484012635.4137377262335,132.82604813575735.4134928971636,132.82621979713435.413073188456,132.82635122537635.4127715214721,132.82635390758535.4127715214721,132.82646656036435.41250482943,132.82749116420735.4128043114164))</t>
  </si>
  <si>
    <t>Polygon((132.82434225082435.4146295972692,132.82489478588135.4148481916051,132.82510399818435.4143672832834,132.82551705837235.4145290436756,132.82579064469235.4139825545596,132.82475531101235.4136284276335,132.82434225082435.4146295972692))</t>
  </si>
  <si>
    <t>Polygon((132.82602936029435.413735540263,132.8258496522935.4140678071057,132.82677769660935.4144022585309,132.82694131135935.4141071544042,132.82602936029435.413735540263))</t>
  </si>
  <si>
    <t>Polygon((132.82677233219135.4144197461489,132.82665967941335.4146252253765,132.82572627067635.4142907748767,132.82583892345435.4140852947963,132.82677233219135.4144197461489))</t>
  </si>
  <si>
    <t>Polygon((132.82644242048335.4150055791597,132.8266409039535.4146361551079,132.8257155418435.4143038906087,132.82551705837235.414677688074,132.82644242048335.4150055791597))</t>
  </si>
  <si>
    <t>Polygon((132.82494306564335.4168854622971,132.82507717609435.416623155655,132.82456755638135.4164439122919,132.82468289136935.4162187645756,132.82444953918535.4161531874525,132.8241893649135.416623155655,132.82494306564335.4168854622971))</t>
  </si>
  <si>
    <t>Polygon((132.82496988773335.4168898340672,132.82543659210235.4170515893953,132.82571017742235.4165575788611,132.82523274421735.4164001943379,132.82496988773335.4168898340672))</t>
  </si>
  <si>
    <t>Polygon((132.82508254051235.4176986074604,132.82540440559435.4171040505131,132.82502889633235.4169728976546,132.82471239566835.4175587121028,132.82508254051235.4176986074604))</t>
  </si>
  <si>
    <t>Polygon((132.8420233726535.4140131580481,132.84235328435935.4141749191511,132.8425410389935.4139934843783,132.84260809421535.4139978563053,132.8428146243135.4137246104093,132.8424042463335.4135388026708,132.8420233726535.4140131580481))</t>
  </si>
  <si>
    <t>Polygon((132.84366488456735.41394757913,132.84418523311635.4142011506508,132.84423351287835.4141311999661,132.84442931413735.4142011506508,132.84472703933735.4136459154195,132.84397870302235.4133792262711,132.84366488456735.41394757913))</t>
  </si>
  <si>
    <t>Polygon((132.84282267093735.4141749191511,132.84327059984235.414386956862,132.84377485513735.413654659311,132.84330010414135.4135322447429,132.84282267093735.4141749191511))</t>
  </si>
  <si>
    <t>Polygon((132.82727122306835.4142230102273,132.82729536294935.4142864029656,132.82715320587235.4146667583482,132.82697886228635.4151323633552,132.82689303159735.4151607804751,132.82663285732335.4151061321587,132.82643437385635.4154952273638,132.8263673186335.4155083428998,132.82624661922535.415471182209,132.82647997140935.4150580416097,132.82674551010135.4145683907489,132.8267481923135.4145683907489,132.82698422670435.4141268280463,132.82727122306835.4142230102273))</t>
  </si>
  <si>
    <t>Polygon((132.82719075679835.4147126631867,132.82711029052735.4149574885507,132.82818585634235.415311609636,132.82831460237535.4150755290854,132.82719075679835.4147126631867))</t>
  </si>
  <si>
    <t>Polygon((132.82787740235.412915797,132.82772183435.413287415,132.82737851135.414056877,132.82705128135.413960694,132.82735635235.413186697,132.82734900735.413184673,132.82750725735.412808683,132.82787740235.412915797))</t>
  </si>
  <si>
    <t>Polygon((132.82830655574835.4130229107037,132.82801151275635.413683076952,132.8282743692435.4137639578755,132.82831728458435.4137377262335,132.82859086990435.4131081642651,132.82830655574835.4130229107037))</t>
  </si>
  <si>
    <t>Polygon((132.8410175442735.4146274113229,132.84101217985235.4143935147204,132.84046500921235.4139869264872,132.84037381410635.4142317540562,132.84030675888135.4144656511282,132.8410175442735.4146274113229))</t>
  </si>
  <si>
    <t>Polygon((132.84029737114935.4144875106329,132.84020215272935.4147913571348,132.84135282039635.4150449260004,132.84137964248735.4149509307381,132.84102693200135.4146438059191,132.84029737114935.4144875106329))</t>
  </si>
  <si>
    <t>Polygon((132.84106314182335.4162362517994,132.84100681543435.4164329828056,132.84197509288835.4166428286828,132.8421333432235.4165466493903,132.84210115671235.4164548417767,132.84106314182335.4162362517994))</t>
  </si>
  <si>
    <t>Polygon((132.84125089645435.4156263826275,132.84107655286835.4161750464995,132.84173101186835.4163149442595,132.84190803766335.415770653171,132.84125089645435.4156263826275))</t>
  </si>
  <si>
    <t>Polygon((132.84143865108535.4150908306235,132.8412884473835.4155586191013,132.84179538488435.4156744728374,132.84188389778135.4154318355765,132.84170687198635.4152963081398,132.8417229652435.4152613332804,132.84143865108535.4150908306235))</t>
  </si>
  <si>
    <t>Polygon((132.86336034536435.4181467081427,132.86304652690935.4190166721071,132.86323159933135.419056016989,132.86330133676535.4190079287974,132.86358028650335.4181991685474,132.86336034536435.4181467081427))</t>
  </si>
  <si>
    <t>Polygon((132.86206483840935.4197882654511,132.86237329244635.4188898940237,132.86325573921235.4191062909768,132.8631511330635.4193882618921,132.86284267902435.4193226873487,132.86267101764735.4197379918888,132.8629902005235.4198144951232,132.86292850971235.4199937309879,132.86246180534435.4198822550702,132.86245375871735.419884440874,132.86206483840935.4197882654511))</t>
  </si>
  <si>
    <t>Polygon((132.8618448972735.4197259699454,132.86196291446735.4197532925415,132.86227941513135.4188702215445,132.8621721267735.4188428986489,132.8618448972735.4197259699454))</t>
  </si>
  <si>
    <t>Polygon((132.86153376102435.4186997265244,132.86121726036135.4195827993901,132.86134332418435.4196090291292,132.86165177822135.4187281423862,132.86153376102435.4186997265244))</t>
  </si>
  <si>
    <t>Polygon((132.86086052656235.4185204877809,132.86129504442235.4186275939073,132.8614908456835.4186778681624,132.86115288734435.4195696845174,132.86094903945935.4195194108188,132.86054939031635.4194276065925,132.86030530929635.4193685895347,132.86015242338235.4193292448054,132.86046892404635.4184286824163,132.86063253879535.4184680275854,132.86086052656235.4185204877809))</t>
  </si>
  <si>
    <t>Polygon((132.861437201535.4204134036478,132.86186635494235.4204920920282,132.86208629608235.4205183214712,132.86201655864735.4206669548204,132.86185026168835.4206538401242,132.86182880401635.4209292482972,132.86095440387735.4208549318988,132.86099731922135.4205838950414,132.86101341247635.4203828025903,132.861437201535.4204134036478))</t>
  </si>
  <si>
    <t>Polygon((132.8610295057335.4203696878478,132.86142110824635.4204046604897,132.86150157451635.420142365305,132.86167860031135.4201511084916,132.86180198192635.4198057519001,132.86122262477935.4196614885818,132.86109387874635.4199369001472,132.8610295057335.4203696878478))</t>
  </si>
  <si>
    <t>Polygon((132.86187708377835.4204789773034,132.86209702491835.4205095783245,132.86237597465535.4199412717517,132.86202192306535.419866954442,132.86193609237735.4202035675912,132.86198437213935.4202472834814,132.86187708377835.4204789773034))</t>
  </si>
  <si>
    <t>Polygon((132.87364125251835.4214778760581,132.87384778261235.4204265183832,132.87369221448935.4204112178584,132.87361979484635.4207762438729,132.87347763776835.4207587576344,132.87334084510835.4214341608356,132.87364125251835.4214778760581))</t>
  </si>
  <si>
    <t>Polygon((132.87364125251835.4214756902975,132.87381827831335.4214997336604,132.8740167617835.420435261539,132.8738531470335.4204112178584,132.87364125251835.4214756902975))</t>
  </si>
  <si>
    <t>Polygon((132.87437617778835.4215784209797,132.87459075450935.420513949898,132.87402480840735.420435261539,132.87382364273135.4215019194203,132.87437617778835.4215784209797))</t>
  </si>
  <si>
    <t>Polygon((132.87438422441535.4215740494639,132.87458270788235.421604650069,132.87463098764435.4215653064318,132.8748321533235.4205970097491,132.87481069564835.4205489224773,132.87460416555435.4205183214712,132.87438422441535.4215740494639))</t>
  </si>
  <si>
    <t>Polygon((132.87485092878335.4226100920556,132.87503331899635.421709566341,132.87467658519735.4216724085103,132.87449687719335.4225576345231,132.87452906370235.4225773061018,132.87485092878335.4226100920556))</t>
  </si>
  <si>
    <t>Polygon((132.87525057792735.4226559923685,132.87543028593135.4217707674365,132.87504673004235.4217161236034,132.87486970424735.4226122777854,132.87525057792735.4226559923685))</t>
  </si>
  <si>
    <t>Polygon((132.87525862455435.4226538066399,132.87558853626335.4226865925626,132.87576287984835.4218122967249,132.87542760372235.4217751389416,132.87525862455435.4226538066399))</t>
  </si>
  <si>
    <t>Polygon((132.8765487670935.4227783930751,132.87672311067635.4219325129652,132.87577092647635.4218122967249,132.87560194730835.4226844068348,132.8765487670935.4227783930751))</t>
  </si>
  <si>
    <t>Polygon((132.88115143775935.421641807931,132.88119435310435.4214538326887,132.881639599835.4215106624593,132.88143575191535.4225029912238,132.88077592849735.4224243048076,132.88094758987435.4216199503672,132.88115143775935.421641807931))</t>
  </si>
  <si>
    <t>Polygon((132.87914112210335.4230155439148,132.87928998470335.4222887891329,132.88036420941435.4224406978173,132.88021668791835.4231434083635,132.87914112210335.4230155439148))</t>
  </si>
  <si>
    <t>Polygon((132.88023948669435.4231335726439,132.88036286830935.4224417906845,132.88142502307935.4225893276197,132.88130700588235.4232373940682,132.88023948669435.4231335726439))</t>
  </si>
  <si>
    <t>Polygon((132.88026630878435.4232461369189,132.88009464740835.4240592178843,132.87934362888335.4239564903658,132.87942945957235.4235193505244,132.87904322147435.4234800078224,132.87911832332635.4231302940704,132.88026630878435.4232461369189))</t>
  </si>
  <si>
    <t>Polygon((132.88129359483735.4233554224723,132.88112461566935.4242034733274,132.8800892829935.4240592178843,132.88027167320335.4232461369189,132.88129359483735.4233554224723))</t>
  </si>
  <si>
    <t>Polygon((132.88115680235.424282158,132.88099050535.425230739,132.88077592835.425208882,132.88076519935.425208882,132.88052916535.425187026,132.88073301335.424216587,132.88095295435.424242815,132.88095831835.424251558,132.88115680235.424282158))</t>
  </si>
  <si>
    <t>Polygon((132.86921024322535.4016134218168,132.869440913235.4012286322097,132.86929607391435.4011630428889,132.86931216716835.4011368071457,132.86887228488935.4009750198736,132.86862015724235.4014035368042,132.86921024322535.4016134218168))</t>
  </si>
  <si>
    <t>Polygon((132.8698244690935.4018386103372,132.86925315856935.4016265396119,132.86949992179935.4012264458999,132.87007391452835.4014713122326,132.86991164088235.4017128983767,132.8698244690935.4018386103372))</t>
  </si>
  <si>
    <t>Polygon((132.87044137716335.4020725433767,132.87052184343335.4020288176265,132.87057548761435.401941366055,132.87000954151235.401705246338,132.86989688873335.4018714047294,132.87044137716335.4020725433767))</t>
  </si>
  <si>
    <t>Polygon((132.8705862164535.4019238757293,132.87066400051135.4018058159316,132.87011682987235.4015784410193,132.87007927894635.4015828136198,132.87002027034835.4016833833662,132.8705862164535.4019238757293))</t>
  </si>
  <si>
    <t>Polygon((132.87066936492935.4017926981656,132.87074446678235.4016899422584,132.87016108632135.4014494491974,132.870095372235.4015565780132,132.87066936492935.4017926981656))</t>
  </si>
  <si>
    <t>Polygon((132.86963403224935.4073282057941,132.86975741386435.40713145256,132.86974668502835.4070789849498,132.86908149719235.406829763335,132.86894738674235.4070396342198,132.86963403224935.4073282057941))</t>
  </si>
  <si>
    <t>Polygon((132.86899030208635.4063160145921,132.86971986293835.4066198919037,132.87007659673735.4060274393939,132.86935240030335.4057213736608,132.86899030208635.4063160145921))</t>
  </si>
  <si>
    <t>Polygon((132.87008464336435.4060208808547,132.87019461393435.4058525448316,132.86947309970935.4055268026977,132.8693604469335.4057060703437,132.87008464336435.4060208808547))</t>
  </si>
  <si>
    <t>/</t>
  </si>
  <si>
    <t>Polygon((132.87152767281435.406960932702,132.8711575269735.4075774258678,132.87109851837235.4076080317886,132.87036359310235.4073063443474,132.87078201770835.4066373812105,132.87152767281435.406960932702))</t>
  </si>
  <si>
    <t>Polygon((132.87079274654435.4066286365576,132.87153035402335.4069500019296,132.87175029516235.4065805409495,132.87102878093735.4062482432369,132.87079274654435.4066286365576))</t>
  </si>
  <si>
    <t>Polygon((132.87602841854135.4097635338375,132.87636637687735.4093132004451,132.87542760372235.4088716089469,132.87511110305835.4092913395367,132.87602841854135.4097635338375))</t>
  </si>
  <si>
    <t>Polygon((132.87636101245935.4093044560824,132.87672042846735.4088584923307,132.87575483322135.4084387594867,132.8754329681435.4088672367417,132.87636101245935.4093044560824))</t>
  </si>
  <si>
    <t>Polygon((132.8774473071135.4096695324148,132.87761360406935.4094487379444,132.87732124328635.4092957117189,132.87715494632735.4095186926935,132.8774473071135.4096695324148))</t>
  </si>
  <si>
    <t>Polygon((132.87700474262235.4102553999589,132.87743657827435.4096848349795,132.87654340267235.4092366872399,132.8761410713235.4097722781503,132.87617057561935.4098444186948,132.87700474262235.4102553999589))</t>
  </si>
  <si>
    <t>Polygon((132.87767529487635.4108456353421,132.87806421518335.4103187958184,132.87777721881935.4101701433796,132.8778818249735.4100477235182,132.877801358735.4100040020941,132.87785768508935.4099318616924,132.87751972675335.4097657199158,132.87697255611435.4104914946309,132.87767529487635.4108456353421))</t>
  </si>
  <si>
    <t>Polygon((132.87722736597135.4114358664025,132.8776645660435.4108500074399,132.87696450948735.410502424923,132.87655144929935.4110380074218,132.87658631801635.4111123328751,132.87722736597135.4114358664025))</t>
  </si>
  <si>
    <t>Polygon((132.87686794996335.4117681427273,132.87728637456935.4119692566794,132.87750899791735.4116828877484,132.8771737217935.4115080054579,132.87718713283535.4114752149862,132.87653803825435.411156053698,132.87645757198335.4111713559804,132.87610620260235.4116610274828,132.87620007991835.4117287942867,132.87630736827935.4118031191029,132.87643343210235.4118774438505,132.87666678428635.4119933028792,132.87686794996335.4117681427273))</t>
  </si>
  <si>
    <t>Polygon((132.86960989236835.4110642399426,132.86983788013535.4111473095353,132.86996930837635.4111866582599,132.87018120288835.4112544254627,132.87048697471635.4113353088237,132.87054061889635.4112981462084,132.87062644958535.4111669839,132.86965548992235.4107472630784,132.86948919296335.411013960937,132.86960989236835.4110642399426))</t>
  </si>
  <si>
    <t>Polygon((132.87062913179435.4111626118193,132.87073642015535.4109964725798,132.86977887153635.4105723787576,132.86966621875835.410742890975,132.87062913179435.4111626118193))</t>
  </si>
  <si>
    <t>Polygon((132.87073910336435.4109877283999,132.87085980176935.4108019143508,132.86990761756935.4103756334431,132.86978155374535.410561448475,132.87073910336435.4109877283999))</t>
  </si>
  <si>
    <t>Polygon((132.87087053060535.4107887980488,132.87103682756435.4105352157906,132.87007927894635.4101133056099,132.86991834640535.4103647031338,132.87087053060535.4107887980488))</t>
  </si>
  <si>
    <t>Polygon((132.87009000778235.4101001891959,132.87104219198235.4105220994452,132.87121653556835.4102881909269,132.87120580673235.4102575860239,132.87026971578635.4098444186948,132.87009000778235.4101001891959))</t>
  </si>
  <si>
    <t>Polygon((132.8702589869535.4097766503063,132.87071764469135.4090727301273,132.8700685501135.408779792589,132.86980837583535.4090836606118,132.86954820156135.4089765417993,132.86931753158635.409324130897,132.86933898925835.409370038779,132.8702589869535.4097766503063))</t>
  </si>
  <si>
    <t>Polygon((132.87121921777735.4102138647136,132.87128090858535.4101941901162,132.87146329879835.4099100009519,132.87050038576135.4094859014124,132.87029117345835.4097919528506,132.87121921777735.4102138647136))</t>
  </si>
  <si>
    <t>Polygon((132.87307798862535.4121091617414,132.87345886230535.4115407959163,132.87275344133435.4112325650809,132.872326970135.4118774438505,132.87234574556435.4119058621183,132.87307798862535.4121091617414))</t>
  </si>
  <si>
    <t>Polygon((132.8734722733535.4115276797345,132.87387728691135.4109177749258,132.87317454814935.4105986114299,132.87277221679735.4112150767712,132.8734722733535.4115276797345))</t>
  </si>
  <si>
    <t>Polygon((132.87409991025935.412430505261,132.87418842315735.4123999011715,132.87429302930835.4122468805495,132.87333816289935.4118271653523,132.87313163280535.4121310218854,132.87409991025935.412430505261))</t>
  </si>
  <si>
    <t>Polygon((132.87430107593535.4122315784714,132.87447273731235.4119736287163,132.87350982427635.4115473540063,132.87334084510835.4118118631944,132.87430107593535.4122315784714))</t>
  </si>
  <si>
    <t>Polygon((132.87466049194335.4116850737746,132.87370562553435.4112587975383,132.87353396415735.4115320517953,132.87448346614835.411960512605,132.87466049194335.4116850737746))</t>
  </si>
  <si>
    <t>Polygon((132.87545174360335.4123999011715,132.87522912025535.4127321735214,132.87489652633735.4126600355619,132.87437885999735.4125004574219,132.87422865629235.4124392492844,132.87452638149335.4119954888971,132.87545174360335.4123999011715))</t>
  </si>
  <si>
    <t>Polygon((132.87544906139435.4123889711367,132.87575215101235.4119495825106,132.87482947111135.4115451679764,132.8745344281235.4119823727893,132.87544906139435.4123889711367))</t>
  </si>
  <si>
    <t>Polygon((132.8749957680735.4112915880981,132.87483751773835.4115233076735,132.87576824426735.411929908337,132.87585675716435.4117768868227,132.87566095590635.4116391672113,132.87512451410335.4113265646804,132.8749957680735.4112915880981))</t>
  </si>
  <si>
    <t>Polygon((132.87144452333535.4116173069339,132.8715920448335.4114008898676,132.87080079317135.4110598678564,132.87062376737635.4113265646804,132.87063449621235.4113790295255,132.87144452333535.4116173069339))</t>
  </si>
  <si>
    <t>Polygon((132.87160545587535.4113834015944,132.87213385105135.4105701927012,132.87136942148235.4102160507797,132.87082761526135.4110117748926,132.87082493305235.4110445655528,132.87160545587535.4113834015944))</t>
  </si>
  <si>
    <t>Polygon((132.87259787321135.4098750237548,132.87187904119535.4094640405509,132.87138015031835.4101985622494,132.87215262651435.4105548903047,132.87259787321135.4098750237548))</t>
  </si>
  <si>
    <t>Polygon((132.87268638610835.4104718201013,132.87257641553935.4103166097551,132.87241548299835.4102488417637,132.87216067314135.4106139138182,132.87287682294835.4109440074857,132.87307262420735.4106532628032,132.87268638610835.4104718201013))</t>
  </si>
  <si>
    <t>Polygon((132.87260323762935.4113440529659,132.87286609411235.4109571237624,132.87215530872335.4106314022583,132.87190854549435.411013960937,132.87260323762935.4113440529659))</t>
  </si>
  <si>
    <t>Polygon((132.87220895290435.4118512115945,132.87228137254735.4118184212624,132.87259250879335.4113571691776,132.87188977003135.4110292632464,132.87148743867935.4116326091287,132.87220895290435.4118512115945))</t>
  </si>
  <si>
    <t>Polygon((132.87244230508835.4137595859357,132.87268370389935.4131956037215,132.87181735038835.4129376570522,132.87165910005635.4132677412016,132.87160009145735.4134972691178,132.87183344364235.4135628484023,132.87177711725235.4137311683217,132.87244230508835.4137595859357))</t>
  </si>
  <si>
    <t>Polygon((132.87446737289435.4138973019233,132.87456661462835.4138754422585,132.87459611892735.4137880035398,132.87271589040835.4132109056166,132.87247180938735.413768329815,132.87446737289435.4138973019233))</t>
  </si>
  <si>
    <t>Polygon((132.87480801343935.4139191615823,132.8750520944635.41393446334,132.87530422210735.4139366493051,132.87571996450435.413073188456,132.87542223930435.4129791908937,132.875242531335.4129332850676,132.87467658519735.4137792596627,132.87463635206235.4138754422585,132.87466585636135.4139060457876,132.87480801343935.4139191615823))</t>
  </si>
  <si>
    <t>Polygon((132.87552684545535.4139432072002,132.8758138418235.4139191615823,132.87610620260235.4132087196318,132.87606865167635.4131781158378,132.87571996450435.4130710024674,132.87530958652535.4139388352702,132.87552684545535.4139432072002))</t>
  </si>
  <si>
    <t>Polygon((132.83242642835.412686267,132.83228841135.412999922,132.83229231835.41300105,132.83218771235.413250253,132.83115506135.41295733,132.83126184335.412704953,132.83138036735.412413017,132.83142596435.412395529,132.83242642835.412686267))</t>
  </si>
  <si>
    <t>Polygon((132.83202409744335.4136109398437,132.83099412918135.4133223907648,132.83114433288635.4129770049026,132.83217966556535.4132699271848,132.83202409744335.4136109398437))</t>
  </si>
  <si>
    <t>Polygon((132.83349126577435.4129835628758,132.83350467681935.4130185387238,132.83316403627435.4138186071021,132.83212333917635.4135256868143,132.83247739076635.4126906395526,132.83349126577435.4129835628758))</t>
  </si>
  <si>
    <t>Polygon((132.8331063687835.4139464861476,132.83316269516935.4138186071021,132.83212065696735.4135256868143,132.83206969499635.4136481013924,132.8331063687835.4139464861476))</t>
  </si>
  <si>
    <t>Polygon((132.82616883516335.4166450145745,132.82621175050735.4166406427911,132.8266409039535.4158471601726,132.82641291618335.4157619095091,132.82616078853635.4157225630186,132.82613128423735.4158471601726,132.82577991485635.4164963738053,132.82616883516335.4166450145745))</t>
  </si>
  <si>
    <t>Polygon((132.82725781202335.4170406599915,132.82784253358835.4159302248349,132.82683938741735.4156744728374,132.82676428556435.4156875883442,132.8262600302735.4166493863577,132.82628148794235.416690918286,132.82725781202335.4170406599915))</t>
  </si>
  <si>
    <t>Polygon((132.82826900482235.4174275599845,132.82830655574835.4174210023729,132.82894760370335.4162165786723,132.82894223928535.4161903478288,132.82789081335135.4159411543894,132.82730072736735.4170625187977,132.82826900482235.4174275599845))</t>
  </si>
  <si>
    <t>Polygon((132.82933920621935.4178428742936,132.82981932163235.4169357376392,132.82985687255935.4168483022413,132.82887786626835.4164832584301,132.82836824655535.417425374114,132.82837897539135.4174822067264,132.82933920621935.4178428742936))</t>
  </si>
  <si>
    <t>Polygon((132.82947599887835.4201052067515,132.83021360635835.4203631304757,132.83056497573935.4197226912332,132.82981663942335.4194472789355,132.82976835966135.4194669512737,132.82946258783335.4200571191861,132.82947599887835.4201052067515))</t>
  </si>
  <si>
    <t>Polygon((132.83057302236635.4196680460109,132.83114165067735.4185969921714,132.83043086528835.4183259477177,132.83036381006235.4183565495565,132.82981932163235.4193729611701,132.82984346151435.419416677511,132.83057302236635.4196680460109))</t>
  </si>
  <si>
    <t>Polygon((132.8311872482335.4185510895458,132.83135354518935.4182428855252,132.83058375120235.4179630964572,132.83043086528835.4182341421315,132.83044427633335.4182691157005,132.8311872482335.4185510895458))</t>
  </si>
  <si>
    <t>Polygon((132.83059716224735.4179587247453,132.83108800649635.4181401505897,132.83115506172235.4178319449971,132.83137232065235.4174363034657,132.83096730709135.4172789206589,132.83059716224735.4179587247453))</t>
  </si>
  <si>
    <t>Polygon((132.83061325550135.4196702318205,132.83117115497635.4198691402462,132.83120334148435.4198647686377,132.8317049145735.4189270531378,132.8316780924835.418815575744,132.83117383718535.4186275939073,132.83061325550135.4196702318205))</t>
  </si>
  <si>
    <t>Polygon((132.83116847276735.4199434575539,132.83117651939435.4199871735853,132.83113628625935.4200767913754,132.83111214637835.4202647698308,132.8311336040535.4204702341524,132.83028066158335.4202975567258,132.83059179782935.4197292486574,132.83116847276735.4199434575539))</t>
  </si>
  <si>
    <t>Polygon((132.84088879823735.4115735863613,132.84110605716735.4111669839,132.84088611602835.4110926584971,132.84065008163535.4110533097266,132.83999025821735.4108084725011,132.83978641033235.4111779141005,132.84088879823735.4115735863613))</t>
  </si>
  <si>
    <t>Polygon((132.84065544605335.4120042329677,132.84089148044635.4115801444487,132.83978641033235.4111822861803,132.83956110477435.4115976326792,132.84065544605335.4120042329677))</t>
  </si>
  <si>
    <t>Polygon((132.84161031246235.4123649250549,132.84166663885135.4123518090073,132.84177660942135.4122097183547,132.8407976031335.4118599556808,132.84071177244235.4120107910201,132.84073859453235.412050139323,132.84161031246235.4123649250549))</t>
  </si>
  <si>
    <t>Polygon((132.84178197383935.4122009743063,132.84233719110535.4115342378257,132.84152984619135.4112478673487,132.84148961305635.4113637272826,132.84145742654835.4115058194269,132.84137964248735.4115779584196,132.84105777740535.4116479113206,132.84093171358135.4116085628213,132.84080833196635.4118577696593,132.84178197383935.4122009743063))</t>
  </si>
  <si>
    <t>Polygon((132.86978691816335.4166603158146,132.86918878555335.4165466493903,132.86925852298735.4162843416453,132.86878108978335.4162034632517,132.86891251802435.4157291207683,132.86999344825735.4159105516332,132.86978691816335.4166603158146))</t>
  </si>
  <si>
    <t>Polygon((132.87629261612935.4195489192979,132.87521302735.4193729611701,132.87537261843735.4187882528299,132.87646025419235.418986070519,132.87629261612935.4195489192979))</t>
  </si>
  <si>
    <t>Polygon((132.879735231435.4201336221175,132.87863016128535.4199456433561,132.87877500057235.419405748428,132.87988811731335.4196046575066,132.879735231435.4201336221175))</t>
  </si>
  <si>
    <t>Polygon((132.88008391857135.4189532830903,132.87988811731335.4195893568257,132.87877500057235.4193882618921,132.87896275520335.418769673243,132.88008391857135.4189532830903))</t>
  </si>
  <si>
    <t>Polygon((132.87003636360235.4211740547716,132.86989152431535.4221795021324,132.86889910697935.4220877009375,132.86904394626635.4210822524309,132.87003636360235.4211740547716))</t>
  </si>
  <si>
    <t>Polygon((132.87070959806435.4212505566423,132.87056744098735.4222363313912,132.86996126174935.4221795021324,132.87010610103635.4211915409199,132.87070959806435.4212505566423))</t>
  </si>
  <si>
    <t>Polygon((132.87058889865935.4222341456512,132.87072569131935.4212505566423,132.87145256996235.4213248726757,132.87131041288435.4222975320866,132.87058889865935.4222341456512))</t>
  </si>
  <si>
    <t>Polygon((132.87134259939235.4223040893012,132.87148207426135.4213270584404,132.87224113941235.4214013744032,132.87228137254735.4214516469275,132.87214726209635.4223827758347,132.87134259939235.4223040893012))</t>
  </si>
  <si>
    <t>Polygon((132.87228941917435.4220745864725,132.87224113941235.4224111903974,132.8730350732835.4224942482924,132.87309408187935.4221576447146,132.87228941917435.4220745864725))</t>
  </si>
  <si>
    <t>Polygon((132.87434130907135.4216286933934,132.8741535544435.4225532630605,132.87354469299335.4224986197582,132.87359833717335.4221860593567,132.8723001480135.4220374288102,132.87239670753535.4213685879575,132.87434130907135.4216286933934))</t>
  </si>
  <si>
    <t>Polygon((132.87440568208735.4225707489094,132.87444591522235.4225467058662,132.87462294101735.4216636654888,132.87435472011635.4216308791498,132.87416696548535.4225445201346,132.87440568208735.4225707489094))</t>
  </si>
  <si>
    <t>Polygon((132.87229210138335.4230931368951,132.87315309047735.4231696369433,132.8732255101235.4225576345231,132.87224382162135.4224570908237,132.87221431732235.4227346785584,132.87221431732235.4228680077601,132.87223041057635.4230231939302,132.87226796150235.4230690940078,132.87229210138335.4230931368951))</t>
  </si>
  <si>
    <t>Polygon((132.8668284416235.4234515936367,132.86687135696435.4230537939848,132.86725759506235.4230887654615,132.86729514598835.4227587215455,132.86805957555835.4228286647399,132.86796569824235.4235783645415,132.8668284416235.4234515936367))</t>
  </si>
  <si>
    <t>Polygon((132.86901712417635.4229095364828,132.86896347999635.4232155369374,132.86877572536535.4232155369374,132.86866843700435.423654864129,132.86798179149635.4235750859862,132.86807298660335.4228308504638,132.86901712417635.4229095364828))</t>
  </si>
  <si>
    <t>Polygon((132.86870330572135.4236745354397,132.86872208118435.4235477646862,132.86918610334435.4235914787617,132.86919414997135.4235674360231,132.86925315856935.4232308369296,132.86930143833235.4229357651388,132.86977887153635.4229707366668,132.86968231201235.4237838204119,132.86870330572135.4236745354397))</t>
  </si>
  <si>
    <t>Polygon((132.87092417478635.4230625368554,132.87088125944135.4232264655036,132.87073910236435.4232046083697,132.87061572074935.4235477646862,132.87076860666335.423598035871,132.87073105573735.4239127764884,132.86976009607335.4238122344804,132.86977887153635.4236417499192,132.87043601274535.4237138780468,132.87052586674735.4230297510858,132.87092417478635.4230625368554))</t>
  </si>
  <si>
    <t>Polygon((132.86976546049135.4236155214931,132.8699317574535.4236330071114,132.86997467279435.4233641653102,132.87010341882735.4233663510195,132.87011951208135.4233313796633,132.87027776241335.4233335653735,132.87032872438435.4230231939302,132.86999344825735.4229794795464,132.8699854016335.4230712797251,132.86983251571735.4230559797026,132.86976546049135.4236155214931))</t>
  </si>
  <si>
    <t>Polygon((132.87076994776735.4239226121129,132.87079945206635.4236013144254,132.87109315395435.4235914787617,132.8711038827935.4235106077034,132.87119507789635.4235193505244,132.87125676870335.4230931368951,132.87169128656435.4231368512173,132.87158668041235.4240111326792,132.87076994776735.4239226121129))</t>
  </si>
  <si>
    <t>Polygon((132.87204802036335.4240767034063,132.87212580442435.4234450365155,132.87169396877335.4233925795267,132.87161350250235.4240220611374,132.87204802036335.4240767034063))</t>
  </si>
  <si>
    <t>Polygon((132.8380751609835.4223193894665,132.83848822116935.4222625602663,132.83881545066835.4222800461783,132.83874571323435.421366402194,132.83800005912835.4214494611662,132.8380751609835.4223193894665))</t>
  </si>
  <si>
    <t>Polygon((132.83852040767735.4229947795834,132.8387832641635.4229576223455,132.83882349729535.4229313936967,132.83880740404135.4225576345231,132.83894419670135.42252703428,132.83905148506235.4224855053602,132.83907830715235.4224396049501,132.83905953168935.4223412468405,132.83850431442335.4222844176558,132.83805638551735.422354361262,132.83812880516135.4231084369105,132.83826023340235.4230690940078,132.83852040767735.4229947795834))</t>
  </si>
  <si>
    <t>Polygon((132.8413420915635.4223346896289,132.84141987562235.4217816961987,132.84030675888135.4216789657758,132.84023165702835.422240702871,132.8413420915635.4223346896289))</t>
  </si>
  <si>
    <t>Polygon((132.84033358097135.4216505509548,132.84038186073335.4212571139422,132.84043014049535.421235256274,132.84172564744935.4211150389932,132.84163981676135.421777324694,132.84033358097135.4216505509548))</t>
  </si>
  <si>
    <t>Polygon((132.8436568379435.4217467241545,132.84368634223935.4217795104464,132.8435763716735.4225510773291,132.84350663423535.4225860490241,132.84256249666235.4224876910933,132.84251958131835.4224570908237,132.84262418746935.4216942660598,132.84269392490435.4216549224664,132.8436568379435.4217467241545))</t>
  </si>
  <si>
    <t>Polygon((132.84484505653435.4210210508123,132.84491747617735.4210691378022,132.84483432769835.4217860677031,132.84375607967435.4216920803051,132.84371048212135.4216592939777,132.84380167722735.4210232365852,132.84384459257135.4209904499855,132.84484505653435.4210210508123))</t>
  </si>
  <si>
    <t>Polygon((132.84599304199235.4224177476028,132.84592866897635.4224505336215,132.8449630737335.4223740328904,132.84491211175935.4223259466793,132.84496575593935.4218909837388,132.84503012895635.4218560117421,132.84600645303735.4219434417054,132.84604668617235.4219980853843,132.84599304199235.4224177476028))</t>
  </si>
  <si>
    <t>Polygon((132.84599304199235.4224745766934,132.84595817327535.4227128212911,132.84592330455835.4227346785584,132.84487456083335.4226406922671,132.84490406513235.4223827758347,132.84599304199235.4224745766934))</t>
  </si>
  <si>
    <t>Polygon((132.84590452909535.422999151022,132.84594208002135.4227456071898,132.84486114978835.4226516209113,132.84483432769835.4229073507611,132.84590452909535.422999151022))</t>
  </si>
  <si>
    <t>Polygon((132.84587234258735.4232701797534,132.84590721130435.4230122653365,132.84483164548935.4229204650905,132.84479677677235.4231696369433,132.84587234258735.4232701797534))</t>
  </si>
  <si>
    <t>Polygon((132.84707129001635.4230800225938,132.84710079431535.422852707699,132.84601718187335.4227565358197,132.84599035978335.4229860367055,132.84707129001635.4230800225938))</t>
  </si>
  <si>
    <t>Polygon((132.84710347652435.4228395933586,132.84713834524235.4225816775631,132.84610301256235.4224833196269,132.84605205059135.4224986197582,132.84601718187335.4227368642848,132.84710347652435.4228395933586))</t>
  </si>
  <si>
    <t>Polygon((132.84707665443435.4225620059854,132.84714102745135.4225314057441,132.84719467163135.4220964439129,132.84714907407835.422043986046,132.84617811441435.4219587419393,132.84612715244335.4219871566515,132.84607082605435.4224330477465,132.84610301256235.4224680194927,132.84707665443435.4225620059854))</t>
  </si>
  <si>
    <t>Polygon((132.80489087104835.4039527281995,132.80561506748235.4046348309226,132.80713319778435.4035111073327,132.80674695968635.4031438168482,132.80690789222735.4030126412696,132.80689179897335.4029251907653,132.80694544315335.4028639753559,132.80664503574435.4026890739298,132.80489087104835.4039527281995))</t>
  </si>
  <si>
    <t>Polygon((132.80359804630335.3996938281186,132.8040969371835.4004371841761,132.80213356018135.4013466928526,132.80173122882835.4009881377726,132.80140936374735.4006514443555,132.80351758003235.3996588464882,132.80359804630335.3996938281186))</t>
  </si>
  <si>
    <t>Polygon((132.80142545700135.4005945998736,132.80133426189435.4005902272195,132.80102849006735.4001704513203,132.80069053173135.3996850827124,132.80283093452535.3986749819172,132.80290067195935.3986924729477,132.80350148677835.3995888831819,132.80348002910635.3996238648426,132.80142545700135.4005945998736))</t>
  </si>
  <si>
    <t>Polygon((132.80066370964135.3996369829615,132.80006825923935.3987274549974,132.80006825923935.3986662364005,132.80215501785335.3976998509627,132.80221402645135.3977173422047,132.80285239219735.3986137632804,132.80066370964135.3996369829615))</t>
  </si>
  <si>
    <t>Polygon((132.80006825923935.3986181360417,132.79997170071535.3986050177571,132.79942989349435.3977785615221,132.79942989349435.3977435790607,132.80116796493535.3969171139958,132.80154883861535.397468091647,132.80192434787835.3973019241805,132.80212283134535.3975949034306,132.80211746692735.3976473772137,132.80006825923935.3986181360417))</t>
  </si>
  <si>
    <t>Polygon((132.79938161373135.3976867325286,132.79887735843735.3969258597023,132.79892027478135.3968602668811,132.8009104728735.3959332159686,132.80095338821435.3959419617818,132.80146837234535.3966853524304,132.80144155025535.3967378268054,132.79938161373135.3976867325286))</t>
  </si>
  <si>
    <t>Polygon((132.84160494804435.4051376593625,132.84160494804435.4050502111635,132.84159153699935.4049409007813,132.84145742654835.404925597316,132.84132599830635.4048949903766,132.84098535776135.4054371687252,132.84134477376935.4055814575101,132.84160494804435.4051376593625))</t>
  </si>
  <si>
    <t>Polygon((132.84089952707335.4054808926267,132.84033358097135.405244783277,132.84029603004535.4052535280801,132.83976227045135.4062679187975,132.83978104591435.4063247592789,132.84069836139735.4066898491082,132.84094244241735.4062504294105,132.84092634916335.4062241953229,132.84066617488935.40611707271,132.84081369638435.4058612895687,132.8407171368635.4058110073173,132.84089952707335.4054808926267))</t>
  </si>
  <si>
    <t>Polygon((132.84181952476535.405250248779,132.84167602658335.405194500641,132.84161970019335.4052174557613,132.84134745597835.4056798360789,132.84152984619135.40575307338,132.84181952476535.405250248779))</t>
  </si>
  <si>
    <t>Polygon((132.84190535545335.405879872132,132.84204483032235.4059345267049,132.84232646226935.4054710547509,132.842186987435.4054163998637,132.84190535545335.405879872132))</t>
  </si>
  <si>
    <t>Polygon((132.84260138869335.4049999284061,132.84170418977735.404954018035,132.84166663885135.404982438744,132.84165859222435.4051234490366,132.84169480204635.4051660800068,132.8423506021535.4054251446482,132.84260138869335.4049999284061))</t>
  </si>
  <si>
    <t>Polygon((132.84305199980735.4057016979668,132.84341409802435.4051092387082,132.84339532256135.4050764456331,132.84336045384435.405066607708,132.84304127097135.4050239766853,132.84264832735135.4050032077173,132.84239083528535.4054382618231,132.84305199980735.4057016979668))</t>
  </si>
  <si>
    <t>Polygon((132.84279182553335.4061476791854,132.84302115440435.4057804007141,132.84300372004535.4057366769751,132.84268721938135.4056164365705,132.84245386719735.4060110430448,132.84279182553335.4061476791854))</t>
  </si>
  <si>
    <t>Polygon((132.84279584884635.4061662616826,132.84211322665235.4058940823245,132.84171894192735.4065630516304,132.84238681197235.4068330425717,132.84279584884635.4061662616826))</t>
  </si>
  <si>
    <t>Polygon((132.84393578767835.4060711629752,132.84422278404235.4055923884681,132.84339666366635.4052557142807,132.84312844276435.405708256532,132.84314185380935.4057541664735,132.84393578767835.4060711629752))</t>
  </si>
  <si>
    <t>Polygon((132.84524202346835.4061039556456,132.84621834754935.4064974666498,132.84636318683635.4062482432369,132.84545660018935.4058853375909,132.84538686275535.4058809652238,132.84524202346835.4061039556456))</t>
  </si>
  <si>
    <t>Polygon((132.84598767757435.4068866034202,132.84621834754935.4064930943158,132.84524738788635.4061039556456,132.8450194001235.4064799773126,132.84505963325535.4065149559832,132.84598767757435.4068866034202))</t>
  </si>
  <si>
    <t>Polygon((132.8472241759335.4069040926692,132.84735828638135.4066898491082,132.84734219312735.4066483120253,132.8463792800935.4062657326243,132.84623980522235.4065083974836,132.8472241759335.4069040926692))</t>
  </si>
  <si>
    <t>Polygon((132.84696131944735.4072822967491,132.84701228141835.4072648075822,132.84722149372135.4069019065133,132.84623712301335.4065083974836,132.84600645303735.4068953480452,132.84696131944735.4072822967491))</t>
  </si>
  <si>
    <t>Polygon((132.84571811556835.4073730217414,132.84593805670735.4074637466315,132.84618213772835.4070461926761,132.84617543220535.4070166796184,132.84597292542535.4069368850007,132.84571811556835.4073730217414))</t>
  </si>
  <si>
    <t>Polygon((132.84638196229935.4076528475803,132.84670382738135.4077840156079,132.84695997834235.4073588118096,132.84694656729735.4073216473607,132.84665957093235.4072090608375,132.84638196229935.4076528475803))</t>
  </si>
  <si>
    <t>Polygon((132.84578248858535.407839761955,132.8460131585635.4078583440621,132.84633770585135.407910811165,132.84656032919935.4079731158053,132.84668236970935.4077971323989,132.84570336341935.4074036277398,132.84542843699535.4078474134114,132.84578248858535.407839761955))</t>
  </si>
  <si>
    <t>Polygon((132.8437399864235.4064143922644,132.84332022070935.4062405916287,132.84311503171935.4065641447129,132.84353882074435.4067423169717,132.8437399864235.4064143922644))</t>
  </si>
  <si>
    <t>Polygon((132.84373193979335.4064089268413,132.8439156711135.4061083280006,132.84312173724235.4057804007141,132.84306809306135.405798983296,132.84291788935735.4060493011875,132.84292593598435.4060635113502,132.84373193979335.4064089268413))</t>
  </si>
  <si>
    <t>Polygon((132.84931361675335.4235171648193,132.84823402762435.4234166223175,132.84819915890735.4237171565965,132.84820050001135.4237160637466,132.84926936030435.423813327329,132.84931361675335.4235171648193))</t>
  </si>
  <si>
    <t>Polygon((132.84934446215635.4233073368471,132.84825816750535.4232100726538,132.84823536872935.4234078794853,132.84931764006635.423504050587,132.84934446215635.4233073368471))</t>
  </si>
  <si>
    <t>Polygon((132.8493484854735.4232964082919,132.84938067197835.4230537939848,132.84829303622235.4229532509047,132.84826219081935.4231991440854,132.8493484854735.4232964082919))</t>
  </si>
  <si>
    <t>Polygon((132.84938201308335.4230483296902,132.84940883517335.4228603577299,132.8483667969735.4227674644481,132.84831717610435.4227893217005,132.84829705953635.4229456008826,132.84938201308335.4230483296902))</t>
  </si>
  <si>
    <t>Polygon((132.84569531679235.4218669404927,132.84604400396335.4218975409865,132.84607887268135.4218713119926,132.84616470336935.4211565686195,132.84614056348835.4211347109241,132.84580528736135.4211019243698,132.84569531679235.4218669404927))</t>
  </si>
  <si>
    <t>Polygon((132.8468969464335.4239171478772,132.84694790840135.4238799910648,132.84697473049235.4237138780468,132.84694522619235.4236657926355,132.84596621990235.423576178838,132.84591525793135.4236002215739,132.8458911180535.4237903775055,132.84593135118535.423829720056,132.8468969464335.4239171478772))</t>
  </si>
  <si>
    <t>Polygon((132.84699618816435.4233608867461,132.84702166914935.4233947652353,132.84699484705935.4236177071956,132.84696131944735.4236461213227,132.84686610102735.4236406570682,132.8459300100835.4235554146511,132.84596353769335.4232953154363,132.84600108861935.4232734583212,132.84699618816435.4233608867461))</t>
  </si>
  <si>
    <t>Polygon((132.8469532728235.4233335653735,132.84698277711935.4233313796633,132.84702837467235.4233138939795,132.84705251455335.4231149940591,132.84701630473135.4230920440367,132.84604132175435.423011172477,132.84599974751535.4230188224929,132.84597024321635.4232144440807,132.84598499536535.4232439512063,132.8469532728235.4233335653735))</t>
  </si>
  <si>
    <t>Polygon((132.84642353653935.421930327217,132.846530824935.421167497465,132.84627869725235.4211379895788,132.84622371196735.4211565686195,132.84612849354735.4219040982337,132.84642353653935.421930327217))</t>
  </si>
  <si>
    <t>Polygon((132.8482326865235.4229554366251,132.84826219081935.4227499786419,132.84717321395935.4226516209113,132.84715175628735.4228614505915,132.8482326865235.4229554366251))</t>
  </si>
  <si>
    <t>Polygon((132.84828901290935.42252703428,132.84825682640135.4227346785584,132.84717589616835.4226385065381,132.84720271825835.4224308620119,132.84828901290935.42252703428))</t>
  </si>
  <si>
    <t>Polygon((132.84818708896635.4233117082688,132.84823805093835.4229619937862,132.84714102745135.4228723792057,132.84710079431535.423213351224,132.84818708896635.4233117082688))</t>
  </si>
  <si>
    <t>Polygon((132.84815758466735.4235302790494,132.84818977117535.4233248225323,132.84709542989735.4232264655036,132.84707129001635.423434107979,132.84815758466735.4235302790494))</t>
  </si>
  <si>
    <t>Polygon((132.84812003374135.4237532206347,132.84815222024935.4235455789818,132.84706592559835.4234472222226,132.84703910350835.4236504927259,132.84812003374135.4237532206347))</t>
  </si>
  <si>
    <t>Polygon((132.84807711839735.4240286182116,132.84812003374135.4237685205248,132.8470337390935.4236679783367,132.84700155258235.4239258906541,132.84807711839735.4240286182116))</t>
  </si>
  <si>
    <t>Polygon((132.83543720841435.3950258327024,132.83522397279735.3949755436926,132.83540099859235.3944376679744,132.83559948205935.3945032627662,132.83543720841435.3950258327024))</t>
  </si>
  <si>
    <t>Polygon((132.83522665500635.3949722639735,132.83539965748835.3944365747274,132.83499062061335.3943152242201,132.83495306968735.3943349026932,132.83477872610135.3948684061324,132.83522665500635.3949722639735))</t>
  </si>
  <si>
    <t>Polygon((132.83778011798935.4002098054037,132.83802688121835.3995757650552,132.83703446388235.3991734748003,132.83678770065335.3997812821282,132.83778011798935.4002098054037))</t>
  </si>
  <si>
    <t>Polygon((132.83803761005435.3995626469264,132.83819317817735.3991647293377,132.83721148967735.3987493187707,132.837039828335.3991691020691,132.83803761005435.3995626469264))</t>
  </si>
  <si>
    <t>Polygon((132.83820658922235.3991406793106,132.83844530582435.3985350535363,132.83745825290735.3981174533309,132.83721417188635.3987252686197,132.83820658922235.3991406793106))</t>
  </si>
  <si>
    <t>Polygon((132.8384560346635.3985263080045,132.83864110708235.3980146927394,132.8384855389635.3979206776153,132.83779352903435.3976320723638,132.83773452043535.3977304606338,132.83762723207535.3977020373681,132.83746093511635.3981021485703,132.8384560346635.3985263080045))</t>
  </si>
  <si>
    <t>Polygon((132.83481091260935.3945404331246,132.83485919237135.3944267355039,132.83488333225335.3943633271457,132.83488065004335.3942846132525,132.8338828682935.3939588243773,132.83377021551135.3943021052354,132.83481091260935.3945404331246))</t>
  </si>
  <si>
    <t>Polygon((132.83466339111335.3950411380469,132.83481627702735.3945622980333,132.8337728977235.3943195972145,132.83361464738835.3948006251535,132.83466339111335.3950411380469))</t>
  </si>
  <si>
    <t>Polygon((132.83454805612635.3953778548926,132.83466339111335.3950542569114,132.8336092829735.3948159305408,132.83350735902835.3951373430034,132.83454805612635.3953778548926))</t>
  </si>
  <si>
    <t>Polygon((132.83444613218335.3955811962029,132.83449977636335.395548399252,132.83454537391735.3953887872341,132.8335019946135.3951548348014,132.83343225717535.3953581766741,132.83444613218335.3955811962029))</t>
  </si>
  <si>
    <t>Polygon((132.83352345228235.395688332816,132.83438980579435.3958873004342,132.83445686101935.3956948921959,132.8344273567235.3956555359087,132.83341616392135.3954259571843,132.83334910869635.3956336712965,132.83352345228235.395688332816))</t>
  </si>
  <si>
    <t>Polygon((132.83427715301535.3962415053087,132.83438712358535.3959026056152,132.83351004123735.3957101974134,132.83338934183135.3959528940468,132.83353954553635.3959966230923,132.83350735902835.3960731488648,132.83427715301535.3962415053087))</t>
  </si>
  <si>
    <t>Polygon((132.83485919237135.3963748783459,132.83504158258435.3957910963724,132.8345909714735.3956861463559,132.83452391624535.3956948921959,132.83434152603135.3962568104225,132.83485919237135.3963748783459))</t>
  </si>
  <si>
    <t>Polygon((132.83555924892435.3958435713294,132.83561289310535.3958151473986,132.83568263053935.3955986879045,132.83463120460535.3953581766741,132.83457756042535.3955352804679,132.83457756042535.3955921285169,132.83460974693335.3956183660644,132.83555924892435.3958435713294))</t>
  </si>
  <si>
    <t>Polygon((132.83568531274835.3955833826658,132.8357335925135.3954303301185,132.83468216657635.3951985642797,132.83463656902335.3953428713897,132.83568531274835.3955833826658))</t>
  </si>
  <si>
    <t>Polygon((132.8357335925135.3954193977826,132.83575236797335.3953625496119,132.83567726612135.3953341255116,132.83478677272835.3951373430034,132.83471435308535.3951482753776,132.83469557762135.3951898183859,132.8357335925135.3954193977826))</t>
  </si>
  <si>
    <t>Polygon((132.83487528562535.3963726919044,132.83503353595735.39640548852,132.83510059118335.3962130815182,132.83543318510135.3962852341976,132.83555656671535.3959157243395,132.83506572246635.3957976557439,132.83487528562535.3963726919044))</t>
  </si>
  <si>
    <t>Polygon((132.83595889806735.3966372508899,132.83602595329335.3964339122427,132.83587574958835.3963267766202,132.83595889806735.3960381656635,132.83585697412535.3960053688986,132.83586502075235.395979131477,132.83565044403135.3959310295152,132.83561289310535.3959572669525,132.83543854951935.3965148104756,132.83595889806735.3966372508899))</t>
  </si>
  <si>
    <t>Polygon((132.83812746405635.3971904168728,132.83833265304635.3968449618818,132.83800542354635.3967148692705,132.83781766891535.3970537655501,132.83812746405635.3971904168728))</t>
  </si>
  <si>
    <t>Polygon((132.83845201134735.3968012332964,132.83876985311535.3962338527507,132.83828303217935.3960469114653,132.83827230334335.3960589369411,132.83824682235735.3960578437161,132.83794507384335.3966044543686,132.83845201134735.3968012332964))</t>
  </si>
  <si>
    <t>Polygon((132.83891737461135.3980015743566,132.8387832641635.3979097456171,132.83914804458635.3971969761304,132.83917754888535.3971816711951,132.83930361270935.3972341452471,132.83891737461135.3980015743566))</t>
  </si>
  <si>
    <t>Polygon((132.83950477838535.3990685291863,132.83967107534435.3986640500212,132.83871620893535.3980627934581,132.83847749233235.3986334407044,132.83950477838535.3990685291863))</t>
  </si>
  <si>
    <t>Polygon((132.78718560934135.3872394086488,132.78726071119335.3872175417548,132.78725266456635.3870371396525,132.78703272342735.3869004711245,132.78717488050535.3867758292252,132.78721645474435.3867222550163,132.78721779584935.3865320116196,132.78720304369935.3864860907324,132.78715610504235.3864489166618,132.78673768043535.3864379831084,132.78666526079235.3864959309247,132.78666391968735.3866533738382,132.78633400797835.3866533738382,132.78626024723135.3866752408853,132.78626829385835.387197861545,132.78629913926135.3872328485812,132.78718560934135.3872394086488))</t>
  </si>
  <si>
    <t>Polygon((132.78698712587435.3881403195312,132.78698980808335.3879238394367,132.78722047805835.3879260261072,132.78722584247635.3877991991187,132.78769791126335.3878013857926,132.78770327568135.3873946634263,132.78747528791435.3872875157949,132.78629779815735.3872831424192,132.78630048036635.3880987728915,132.78634071350135.3881381328665,132.78698712587435.3881403195312))</t>
  </si>
  <si>
    <t>Polygon((132.78959155082735.3876373850852,132.79013067483935.387646131798,132.79013335704835.3872306618919,132.78912484645835.3872284752025,132.78911679983135.3881556261826,132.78958886861835.3881556261826,132.78959155082735.3876373850852))</t>
  </si>
  <si>
    <t>Polygon((132.78958886861835.3881534395183,132.78990000486435.3881556261826,132.78990536928235.3876395717635,132.78959423303635.3876373850852,132.78958886861835.3881534395183))</t>
  </si>
  <si>
    <t>Polygon((132.78912752866735.3861154426151,132.7900743484535.3861198160541,132.7901279926335.3861001355765,132.79013872146635.3853107257954,132.79008507728635.3852363765537,132.78905242681535.3852276295796,132.78897464275435.3852604307277,132.78897464275435.3855337731094,132.78900414705335.3855796945387,132.78910607099535.3856212424759,132.78910070657735.3860017331167,132.78910338878635.3860585878859,132.78912752866735.3861154426151))</t>
  </si>
  <si>
    <r>
      <rPr>
        <sz val="11"/>
        <color rgb="FF000000"/>
        <rFont val="Calibri"/>
        <family val="2"/>
      </rPr>
      <t>属性値</t>
    </r>
  </si>
  <si>
    <r>
      <rPr>
        <sz val="11"/>
        <color rgb="FF000000"/>
        <rFont val="Calibri"/>
        <family val="2"/>
      </rPr>
      <t>地番（推定）</t>
    </r>
  </si>
  <si>
    <r>
      <rPr>
        <sz val="11"/>
        <color rgb="FF000000"/>
        <rFont val="ＭＳ ゴシック"/>
        <family val="3"/>
        <charset val="128"/>
      </rPr>
      <t>（㎡）</t>
    </r>
    <phoneticPr fontId="2"/>
  </si>
  <si>
    <r>
      <rPr>
        <sz val="11"/>
        <color rgb="FF000000"/>
        <rFont val="ＭＳ ゴシック"/>
        <family val="3"/>
        <charset val="128"/>
      </rPr>
      <t>収穫日１</t>
    </r>
    <phoneticPr fontId="2"/>
  </si>
  <si>
    <r>
      <rPr>
        <sz val="11"/>
        <color rgb="FF000000"/>
        <rFont val="ＭＳ ゴシック"/>
        <family val="3"/>
        <charset val="128"/>
      </rPr>
      <t>収穫日２</t>
    </r>
    <phoneticPr fontId="2"/>
  </si>
  <si>
    <r>
      <rPr>
        <sz val="11"/>
        <color rgb="FF000000"/>
        <rFont val="Calibri"/>
        <family val="2"/>
      </rPr>
      <t>納入先</t>
    </r>
  </si>
  <si>
    <r>
      <rPr>
        <sz val="11"/>
        <color rgb="FF000000"/>
        <rFont val="Calibri"/>
        <family val="2"/>
      </rPr>
      <t>出庫日</t>
    </r>
  </si>
  <si>
    <r>
      <rPr>
        <sz val="11"/>
        <color rgb="FF000000"/>
        <rFont val="Calibri"/>
        <family val="2"/>
      </rPr>
      <t>区分</t>
    </r>
  </si>
  <si>
    <r>
      <rPr>
        <sz val="11"/>
        <color rgb="FF000000"/>
        <rFont val="Calibri"/>
        <family val="2"/>
      </rPr>
      <t>備考（出庫日②）</t>
    </r>
  </si>
  <si>
    <r>
      <rPr>
        <sz val="11"/>
        <color rgb="FF000000"/>
        <rFont val="ＭＳ Ｐゴシック"/>
        <family val="2"/>
        <charset val="128"/>
      </rPr>
      <t>収穫者</t>
    </r>
    <rPh sb="0" eb="3">
      <t>シュウカクシャ</t>
    </rPh>
    <phoneticPr fontId="2"/>
  </si>
  <si>
    <r>
      <rPr>
        <sz val="11"/>
        <color rgb="FF000000"/>
        <rFont val="ＭＳ Ｐゴシック"/>
        <family val="2"/>
        <charset val="128"/>
      </rPr>
      <t>栽培品種</t>
    </r>
    <rPh sb="0" eb="4">
      <t>サイバイヒンシュ</t>
    </rPh>
    <phoneticPr fontId="2"/>
  </si>
  <si>
    <r>
      <rPr>
        <sz val="11"/>
        <color rgb="FF000000"/>
        <rFont val="Calibri"/>
        <family val="2"/>
      </rPr>
      <t>島根県出雲市斐川町原鹿1671</t>
    </r>
  </si>
  <si>
    <r>
      <rPr>
        <sz val="11"/>
        <color rgb="FF000000"/>
        <rFont val="Calibri"/>
        <family val="2"/>
      </rPr>
      <t>島根県出雲市斐川町原鹿1690</t>
    </r>
  </si>
  <si>
    <r>
      <rPr>
        <sz val="11"/>
        <color rgb="FF000000"/>
        <rFont val="Calibri"/>
        <family val="2"/>
      </rPr>
      <t>島根県出雲市斐川町原鹿1709</t>
    </r>
  </si>
  <si>
    <r>
      <rPr>
        <sz val="11"/>
        <color rgb="FF000000"/>
        <rFont val="Calibri"/>
        <family val="2"/>
      </rPr>
      <t>島根県出雲市斐川町原鹿2032</t>
    </r>
  </si>
  <si>
    <r>
      <rPr>
        <sz val="11"/>
        <color rgb="FF000000"/>
        <rFont val="Calibri"/>
        <family val="2"/>
      </rPr>
      <t>島根県出雲市斐川町原鹿2048</t>
    </r>
  </si>
  <si>
    <r>
      <rPr>
        <sz val="11"/>
        <color rgb="FF000000"/>
        <rFont val="Calibri"/>
        <family val="2"/>
      </rPr>
      <t>島根県出雲市斐川町原鹿2049</t>
    </r>
  </si>
  <si>
    <r>
      <rPr>
        <sz val="11"/>
        <color rgb="FF000000"/>
        <rFont val="Calibri"/>
        <family val="2"/>
      </rPr>
      <t>島根県出雲市斐川町原鹿2050</t>
    </r>
  </si>
  <si>
    <r>
      <rPr>
        <sz val="11"/>
        <color rgb="FF000000"/>
        <rFont val="Calibri"/>
        <family val="2"/>
      </rPr>
      <t>島根県出雲市斐川町原鹿2171</t>
    </r>
  </si>
  <si>
    <r>
      <rPr>
        <sz val="11"/>
        <color rgb="FF000000"/>
        <rFont val="Calibri"/>
        <family val="2"/>
      </rPr>
      <t>島根県出雲市斐川町原鹿2175</t>
    </r>
  </si>
  <si>
    <r>
      <rPr>
        <sz val="11"/>
        <color rgb="FF000000"/>
        <rFont val="Calibri"/>
        <family val="2"/>
      </rPr>
      <t>島根県出雲市斐川町原鹿2178</t>
    </r>
  </si>
  <si>
    <r>
      <rPr>
        <sz val="11"/>
        <color rgb="FF000000"/>
        <rFont val="ＭＳ ゴシック"/>
        <family val="3"/>
        <charset val="128"/>
      </rPr>
      <t>島根県出雲市斐川町黒目</t>
    </r>
    <r>
      <rPr>
        <sz val="11"/>
        <color rgb="FF000000"/>
        <rFont val="Calibri"/>
        <family val="2"/>
      </rPr>
      <t>593-1-1</t>
    </r>
    <r>
      <rPr>
        <sz val="11"/>
        <color rgb="FF000000"/>
        <rFont val="ＭＳ ゴシック"/>
        <family val="3"/>
        <charset val="128"/>
      </rPr>
      <t>（</t>
    </r>
    <r>
      <rPr>
        <sz val="11"/>
        <color rgb="FF000000"/>
        <rFont val="Calibri"/>
        <family val="2"/>
      </rPr>
      <t>1)</t>
    </r>
    <phoneticPr fontId="2"/>
  </si>
  <si>
    <r>
      <rPr>
        <sz val="11"/>
        <color rgb="FF000000"/>
        <rFont val="Calibri"/>
        <family val="2"/>
      </rPr>
      <t>島根県出雲市斐川町黒目650</t>
    </r>
  </si>
  <si>
    <r>
      <rPr>
        <sz val="11"/>
        <color rgb="FF000000"/>
        <rFont val="Calibri"/>
        <family val="2"/>
      </rPr>
      <t>島根県出雲市斐川町黒目1079</t>
    </r>
  </si>
  <si>
    <r>
      <rPr>
        <sz val="11"/>
        <color rgb="FF000000"/>
        <rFont val="Calibri"/>
        <family val="2"/>
      </rPr>
      <t>島根県出雲市斐川町三分市8</t>
    </r>
  </si>
  <si>
    <r>
      <rPr>
        <sz val="11"/>
        <color rgb="FF000000"/>
        <rFont val="Calibri"/>
        <family val="2"/>
      </rPr>
      <t>島根県出雲市斐川町三分市29</t>
    </r>
  </si>
  <si>
    <r>
      <rPr>
        <sz val="11"/>
        <color rgb="FF000000"/>
        <rFont val="Calibri"/>
        <family val="2"/>
      </rPr>
      <t>島根県出雲市斐川町三分市110</t>
    </r>
  </si>
  <si>
    <r>
      <rPr>
        <sz val="11"/>
        <color rgb="FF000000"/>
        <rFont val="Calibri"/>
        <family val="2"/>
      </rPr>
      <t>島根県出雲市斐川町三分市136</t>
    </r>
  </si>
  <si>
    <r>
      <rPr>
        <sz val="11"/>
        <color rgb="FF000000"/>
        <rFont val="Calibri"/>
        <family val="2"/>
      </rPr>
      <t>島根県出雲市斐川町三分市864</t>
    </r>
  </si>
  <si>
    <r>
      <rPr>
        <sz val="11"/>
        <color rgb="FF000000"/>
        <rFont val="Calibri"/>
        <family val="2"/>
      </rPr>
      <t>島根県出雲市斐川町三分市865</t>
    </r>
  </si>
  <si>
    <r>
      <rPr>
        <sz val="11"/>
        <color rgb="FF000000"/>
        <rFont val="Calibri"/>
        <family val="2"/>
      </rPr>
      <t>島根県出雲市斐川町三分市883</t>
    </r>
  </si>
  <si>
    <r>
      <rPr>
        <sz val="11"/>
        <color rgb="FF000000"/>
        <rFont val="Calibri"/>
        <family val="2"/>
      </rPr>
      <t>島根県出雲市斐川町三分市885</t>
    </r>
  </si>
  <si>
    <r>
      <rPr>
        <sz val="11"/>
        <color rgb="FF000000"/>
        <rFont val="Calibri"/>
        <family val="2"/>
      </rPr>
      <t>島根県出雲市斐川町三分市889-1</t>
    </r>
  </si>
  <si>
    <r>
      <rPr>
        <sz val="11"/>
        <color rgb="FF000000"/>
        <rFont val="Calibri"/>
        <family val="2"/>
      </rPr>
      <t>島根県出雲市斐川町三分市2549-1</t>
    </r>
  </si>
  <si>
    <r>
      <rPr>
        <sz val="11"/>
        <color rgb="FF000000"/>
        <rFont val="Calibri"/>
        <family val="2"/>
      </rPr>
      <t>島根県出雲市斐川町三分市2552-1</t>
    </r>
  </si>
  <si>
    <r>
      <rPr>
        <sz val="11"/>
        <color rgb="FF000000"/>
        <rFont val="Calibri"/>
        <family val="2"/>
      </rPr>
      <t>島根県出雲市斐川町三分市2556</t>
    </r>
  </si>
  <si>
    <r>
      <rPr>
        <sz val="11"/>
        <color rgb="FF000000"/>
        <rFont val="Calibri"/>
        <family val="2"/>
      </rPr>
      <t>島根県出雲市斐川町三分市2560</t>
    </r>
  </si>
  <si>
    <r>
      <rPr>
        <sz val="11"/>
        <color rgb="FF000000"/>
        <rFont val="Calibri"/>
        <family val="2"/>
      </rPr>
      <t>島根県出雲市斐川町三分市2563</t>
    </r>
  </si>
  <si>
    <r>
      <rPr>
        <sz val="11"/>
        <color rgb="FF000000"/>
        <rFont val="ＭＳ ゴシック"/>
        <family val="3"/>
        <charset val="128"/>
      </rPr>
      <t>島根県出雲市斐川町三分市</t>
    </r>
    <r>
      <rPr>
        <sz val="11"/>
        <color rgb="FF000000"/>
        <rFont val="Calibri"/>
        <family val="2"/>
      </rPr>
      <t>2744-2-1</t>
    </r>
    <phoneticPr fontId="2"/>
  </si>
  <si>
    <r>
      <rPr>
        <sz val="11"/>
        <color rgb="FF000000"/>
        <rFont val="ＭＳ ゴシック"/>
        <family val="3"/>
        <charset val="128"/>
      </rPr>
      <t>島根県出雲市斐川町三分市</t>
    </r>
    <r>
      <rPr>
        <sz val="11"/>
        <color rgb="FF000000"/>
        <rFont val="Calibri"/>
        <family val="2"/>
      </rPr>
      <t>2747-2-1</t>
    </r>
    <phoneticPr fontId="2"/>
  </si>
  <si>
    <r>
      <rPr>
        <sz val="11"/>
        <color rgb="FF000000"/>
        <rFont val="ＭＳ ゴシック"/>
        <family val="3"/>
        <charset val="128"/>
      </rPr>
      <t>島根県出雲市斐川町三分市</t>
    </r>
    <r>
      <rPr>
        <sz val="11"/>
        <color rgb="FF000000"/>
        <rFont val="Calibri"/>
        <family val="2"/>
      </rPr>
      <t>2750-2-1</t>
    </r>
    <r>
      <rPr>
        <sz val="11"/>
        <color rgb="FF000000"/>
        <rFont val="ＭＳ ゴシック"/>
        <family val="3"/>
        <charset val="128"/>
      </rPr>
      <t>（</t>
    </r>
    <r>
      <rPr>
        <sz val="11"/>
        <color rgb="FF000000"/>
        <rFont val="Calibri"/>
        <family val="2"/>
      </rPr>
      <t>1</t>
    </r>
    <r>
      <rPr>
        <sz val="11"/>
        <color rgb="FF000000"/>
        <rFont val="ＭＳ ゴシック"/>
        <family val="3"/>
        <charset val="128"/>
      </rPr>
      <t>）</t>
    </r>
    <phoneticPr fontId="2"/>
  </si>
  <si>
    <r>
      <rPr>
        <sz val="11"/>
        <color rgb="FF000000"/>
        <rFont val="Calibri"/>
        <family val="2"/>
      </rPr>
      <t>島根県出雲市斐川町三分市3591</t>
    </r>
  </si>
  <si>
    <r>
      <rPr>
        <sz val="11"/>
        <color rgb="FF000000"/>
        <rFont val="ＭＳ Ｐゴシック"/>
        <family val="2"/>
        <charset val="128"/>
      </rPr>
      <t>板井牧場</t>
    </r>
    <rPh sb="0" eb="1">
      <t>イタイ</t>
    </rPh>
    <rPh sb="1" eb="3">
      <t>ボクジョウ</t>
    </rPh>
    <phoneticPr fontId="2"/>
  </si>
  <si>
    <r>
      <rPr>
        <sz val="11"/>
        <color rgb="FF000000"/>
        <rFont val="ＭＳ Ｐゴシック"/>
        <family val="2"/>
        <charset val="128"/>
      </rPr>
      <t>運搬</t>
    </r>
    <phoneticPr fontId="2"/>
  </si>
  <si>
    <r>
      <rPr>
        <sz val="11"/>
        <color rgb="FF000000"/>
        <rFont val="Calibri"/>
        <family val="2"/>
      </rPr>
      <t>錦織農園</t>
    </r>
    <rPh sb="0" eb="3">
      <t>ニシコオリノウエン</t>
    </rPh>
    <phoneticPr fontId="2"/>
  </si>
  <si>
    <r>
      <rPr>
        <sz val="11"/>
        <color rgb="FF000000"/>
        <rFont val="Calibri"/>
        <family val="2"/>
      </rPr>
      <t>島根県出雲市斐川町三分市3592</t>
    </r>
  </si>
  <si>
    <r>
      <rPr>
        <sz val="11"/>
        <color rgb="FF000000"/>
        <rFont val="Calibri"/>
        <family val="2"/>
      </rPr>
      <t>板井牧場</t>
    </r>
    <rPh sb="0" eb="1">
      <t>イタイ</t>
    </rPh>
    <rPh sb="1" eb="3">
      <t>ボクジョウ</t>
    </rPh>
    <phoneticPr fontId="2"/>
  </si>
  <si>
    <r>
      <rPr>
        <sz val="11"/>
        <color rgb="FF000000"/>
        <rFont val="Calibri"/>
        <family val="2"/>
      </rPr>
      <t>島根県出雲市斐川町三分市3593</t>
    </r>
  </si>
  <si>
    <r>
      <rPr>
        <sz val="11"/>
        <color rgb="FF000000"/>
        <rFont val="Calibri"/>
        <family val="2"/>
      </rPr>
      <t>島根県出雲市斐川町三分市3595</t>
    </r>
  </si>
  <si>
    <r>
      <rPr>
        <sz val="11"/>
        <color rgb="FF000000"/>
        <rFont val="Calibri"/>
        <family val="2"/>
      </rPr>
      <t>島根県出雲市斐川町三分市3631</t>
    </r>
  </si>
  <si>
    <r>
      <rPr>
        <sz val="11"/>
        <color rgb="FF000000"/>
        <rFont val="ＭＳ Ｐゴシック"/>
        <family val="2"/>
        <charset val="128"/>
      </rPr>
      <t>板井牧場</t>
    </r>
    <rPh sb="0" eb="2">
      <t>ボクジョウ</t>
    </rPh>
    <phoneticPr fontId="2"/>
  </si>
  <si>
    <r>
      <t>8/23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18</t>
    </r>
    <r>
      <rPr>
        <sz val="11"/>
        <color rgb="FF000000"/>
        <rFont val="ＭＳ Ｐゴシック"/>
        <family val="2"/>
        <charset val="128"/>
      </rPr>
      <t>本）</t>
    </r>
    <rPh sb="6" eb="7">
      <t>ホン</t>
    </rPh>
    <phoneticPr fontId="2"/>
  </si>
  <si>
    <r>
      <t>8/26</t>
    </r>
    <r>
      <rPr>
        <sz val="11"/>
        <color rgb="FF000000"/>
        <rFont val="ＭＳ Ｐゴシック"/>
        <family val="2"/>
        <charset val="128"/>
      </rPr>
      <t>原牧場（残り</t>
    </r>
    <r>
      <rPr>
        <sz val="11"/>
        <color rgb="FF000000"/>
        <rFont val="Calibri"/>
        <family val="2"/>
      </rPr>
      <t>10</t>
    </r>
    <r>
      <rPr>
        <sz val="11"/>
        <color rgb="FF000000"/>
        <rFont val="ＭＳ Ｐゴシック"/>
        <family val="2"/>
        <charset val="128"/>
      </rPr>
      <t>本）</t>
    </r>
    <rPh sb="3" eb="6">
      <t>ハラボクジョウ</t>
    </rPh>
    <rPh sb="7" eb="8">
      <t>ノコ</t>
    </rPh>
    <rPh sb="11" eb="12">
      <t>ホン</t>
    </rPh>
    <phoneticPr fontId="2"/>
  </si>
  <si>
    <r>
      <rPr>
        <sz val="11"/>
        <color rgb="FF000000"/>
        <rFont val="Calibri"/>
        <family val="2"/>
      </rPr>
      <t>島根県出雲市斐川町三分市3632</t>
    </r>
  </si>
  <si>
    <r>
      <rPr>
        <sz val="11"/>
        <color rgb="FF000000"/>
        <rFont val="ＭＳ Ｐゴシック"/>
        <family val="2"/>
        <charset val="128"/>
      </rPr>
      <t>原牧場</t>
    </r>
    <rPh sb="0" eb="2">
      <t>ハラボクジョウ</t>
    </rPh>
    <phoneticPr fontId="2"/>
  </si>
  <si>
    <r>
      <rPr>
        <sz val="11"/>
        <color rgb="FF000000"/>
        <rFont val="Calibri"/>
        <family val="2"/>
      </rPr>
      <t>島根県出雲市斐川町三分市3635</t>
    </r>
  </si>
  <si>
    <r>
      <rPr>
        <sz val="11"/>
        <color rgb="FF000000"/>
        <rFont val="Calibri"/>
        <family val="2"/>
      </rPr>
      <t>島根県出雲市斐川町三分市3638-1</t>
    </r>
  </si>
  <si>
    <r>
      <rPr>
        <sz val="11"/>
        <color rgb="FF000000"/>
        <rFont val="ＭＳ Ｐゴシック"/>
        <family val="2"/>
        <charset val="128"/>
      </rPr>
      <t>原牧場</t>
    </r>
    <rPh sb="0" eb="2">
      <t>ボクジョウ</t>
    </rPh>
    <phoneticPr fontId="2"/>
  </si>
  <si>
    <r>
      <rPr>
        <sz val="11"/>
        <color rgb="FF000000"/>
        <rFont val="Calibri"/>
        <family val="2"/>
      </rPr>
      <t>島根県出雲市斐川町三分市3718</t>
    </r>
  </si>
  <si>
    <r>
      <rPr>
        <sz val="11"/>
        <color rgb="FF000000"/>
        <rFont val="ＭＳ Ｐゴシック"/>
        <family val="2"/>
        <charset val="128"/>
      </rPr>
      <t>日登牧場</t>
    </r>
    <rPh sb="0" eb="1">
      <t>ノボ</t>
    </rPh>
    <rPh sb="1" eb="3">
      <t>ボクジョウ</t>
    </rPh>
    <phoneticPr fontId="2"/>
  </si>
  <si>
    <r>
      <rPr>
        <sz val="11"/>
        <color rgb="FF000000"/>
        <rFont val="ＭＳ Ｐゴシック"/>
        <family val="2"/>
        <charset val="128"/>
      </rPr>
      <t>運搬</t>
    </r>
    <rPh sb="0" eb="1">
      <t>ウンパン</t>
    </rPh>
    <phoneticPr fontId="2"/>
  </si>
  <si>
    <r>
      <rPr>
        <sz val="11"/>
        <color rgb="FF000000"/>
        <rFont val="ＭＳ Ｐゴシック"/>
        <family val="2"/>
        <charset val="128"/>
      </rPr>
      <t>錦織農園</t>
    </r>
    <rPh sb="0" eb="3">
      <t>ニシコオリノウエン</t>
    </rPh>
    <phoneticPr fontId="2"/>
  </si>
  <si>
    <r>
      <rPr>
        <sz val="11"/>
        <color rgb="FF000000"/>
        <rFont val="Calibri"/>
        <family val="2"/>
      </rPr>
      <t>島根県出雲市斐川町三分市3724</t>
    </r>
  </si>
  <si>
    <r>
      <rPr>
        <sz val="11"/>
        <color rgb="FF000000"/>
        <rFont val="Calibri"/>
        <family val="2"/>
      </rPr>
      <t>原牧場</t>
    </r>
    <rPh sb="0" eb="2">
      <t>ハラボクジョウ</t>
    </rPh>
    <phoneticPr fontId="2"/>
  </si>
  <si>
    <r>
      <rPr>
        <sz val="11"/>
        <color rgb="FF000000"/>
        <rFont val="Calibri"/>
        <family val="2"/>
      </rPr>
      <t>運搬</t>
    </r>
    <rPh sb="0" eb="1">
      <t>ウンパン</t>
    </rPh>
    <phoneticPr fontId="2"/>
  </si>
  <si>
    <r>
      <rPr>
        <sz val="11"/>
        <color rgb="FF000000"/>
        <rFont val="Calibri"/>
        <family val="2"/>
      </rPr>
      <t>島根県出雲市斐川町三分市3727</t>
    </r>
  </si>
  <si>
    <r>
      <rPr>
        <sz val="11"/>
        <color rgb="FF000000"/>
        <rFont val="ＭＳ ゴシック"/>
        <family val="3"/>
        <charset val="128"/>
      </rPr>
      <t>島根県出雲市斐川町三分市</t>
    </r>
    <r>
      <rPr>
        <sz val="11"/>
        <color rgb="FF000000"/>
        <rFont val="Calibri"/>
        <family val="2"/>
      </rPr>
      <t>3734-1-1</t>
    </r>
    <r>
      <rPr>
        <sz val="11"/>
        <color rgb="FF000000"/>
        <rFont val="ＭＳ ゴシック"/>
        <family val="3"/>
        <charset val="128"/>
      </rPr>
      <t>（</t>
    </r>
    <r>
      <rPr>
        <sz val="11"/>
        <color rgb="FF000000"/>
        <rFont val="Calibri"/>
        <family val="2"/>
      </rPr>
      <t>2</t>
    </r>
    <r>
      <rPr>
        <sz val="11"/>
        <color rgb="FF000000"/>
        <rFont val="ＭＳ ゴシック"/>
        <family val="3"/>
        <charset val="128"/>
      </rPr>
      <t>）</t>
    </r>
    <phoneticPr fontId="2"/>
  </si>
  <si>
    <r>
      <rPr>
        <sz val="11"/>
        <color rgb="FF000000"/>
        <rFont val="Calibri"/>
        <family val="2"/>
      </rPr>
      <t>島根県出雲市斐川町三分市3738</t>
    </r>
  </si>
  <si>
    <r>
      <t>8/6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52</t>
    </r>
    <r>
      <rPr>
        <sz val="11"/>
        <color rgb="FF000000"/>
        <rFont val="ＭＳ Ｐゴシック"/>
        <family val="2"/>
        <charset val="128"/>
      </rPr>
      <t>本）</t>
    </r>
    <rPh sb="5" eb="6">
      <t>ホン</t>
    </rPh>
    <phoneticPr fontId="2"/>
  </si>
  <si>
    <r>
      <t>8/7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46</t>
    </r>
    <r>
      <rPr>
        <sz val="11"/>
        <color rgb="FF000000"/>
        <rFont val="游ゴシック"/>
        <family val="2"/>
        <charset val="128"/>
      </rPr>
      <t>本）</t>
    </r>
    <rPh sb="3" eb="4">
      <t>ノコ</t>
    </rPh>
    <rPh sb="8" eb="9">
      <t>ホン</t>
    </rPh>
    <phoneticPr fontId="2"/>
  </si>
  <si>
    <r>
      <rPr>
        <sz val="11"/>
        <color rgb="FF000000"/>
        <rFont val="ＭＳ ゴシック"/>
        <family val="3"/>
        <charset val="128"/>
      </rPr>
      <t>島根県出雲市斐川町三分市</t>
    </r>
    <r>
      <rPr>
        <sz val="11"/>
        <color rgb="FF000000"/>
        <rFont val="Calibri"/>
        <family val="2"/>
      </rPr>
      <t>3105</t>
    </r>
    <phoneticPr fontId="2"/>
  </si>
  <si>
    <r>
      <rPr>
        <sz val="11"/>
        <color rgb="FF000000"/>
        <rFont val="Calibri"/>
        <family val="2"/>
      </rPr>
      <t>島根県出雲市斐川町坂田2686</t>
    </r>
  </si>
  <si>
    <r>
      <rPr>
        <sz val="11"/>
        <color rgb="FF000000"/>
        <rFont val="ＭＳ Ｐゴシック"/>
        <family val="2"/>
        <charset val="128"/>
      </rPr>
      <t>原牧場</t>
    </r>
    <rPh sb="0" eb="1">
      <t>ハラボクジョウ</t>
    </rPh>
    <phoneticPr fontId="2"/>
  </si>
  <si>
    <r>
      <t>8/26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2</t>
    </r>
    <r>
      <rPr>
        <sz val="11"/>
        <color rgb="FF000000"/>
        <rFont val="ＭＳ Ｐゴシック"/>
        <family val="2"/>
        <charset val="128"/>
      </rPr>
      <t>本）</t>
    </r>
    <rPh sb="5" eb="6">
      <t>ホン</t>
    </rPh>
    <phoneticPr fontId="2"/>
  </si>
  <si>
    <r>
      <t>8/27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45</t>
    </r>
    <r>
      <rPr>
        <sz val="11"/>
        <color rgb="FF000000"/>
        <rFont val="ＭＳ Ｐゴシック"/>
        <family val="2"/>
        <charset val="128"/>
      </rPr>
      <t>本）</t>
    </r>
    <rPh sb="4" eb="5">
      <t>ノコ</t>
    </rPh>
    <rPh sb="8" eb="9">
      <t>ホン</t>
    </rPh>
    <phoneticPr fontId="2"/>
  </si>
  <si>
    <r>
      <rPr>
        <sz val="11"/>
        <color rgb="FF000000"/>
        <rFont val="Calibri"/>
        <family val="2"/>
      </rPr>
      <t>島根県出雲市斐川町荘原1386-1</t>
    </r>
  </si>
  <si>
    <r>
      <rPr>
        <sz val="11"/>
        <color rgb="FF000000"/>
        <rFont val="ＭＳ Ｐゴシック"/>
        <family val="2"/>
        <charset val="128"/>
      </rPr>
      <t>ヒメノモチ</t>
    </r>
    <phoneticPr fontId="2"/>
  </si>
  <si>
    <r>
      <rPr>
        <sz val="11"/>
        <color rgb="FF000000"/>
        <rFont val="Calibri"/>
        <family val="2"/>
      </rPr>
      <t>島根県出雲市斐川町荘原1447</t>
    </r>
  </si>
  <si>
    <r>
      <rPr>
        <sz val="11"/>
        <color rgb="FF000000"/>
        <rFont val="Calibri"/>
        <family val="2"/>
      </rPr>
      <t>島根県出雲市斐川町荘原1451-1</t>
    </r>
  </si>
  <si>
    <r>
      <rPr>
        <sz val="11"/>
        <color rgb="FF000000"/>
        <rFont val="Calibri"/>
        <family val="2"/>
      </rPr>
      <t>島根県出雲市斐川町荘原1452</t>
    </r>
  </si>
  <si>
    <r>
      <rPr>
        <sz val="11"/>
        <color rgb="FF000000"/>
        <rFont val="Calibri"/>
        <family val="2"/>
      </rPr>
      <t>島根県出雲市斐川町荘原1453</t>
    </r>
  </si>
  <si>
    <r>
      <rPr>
        <sz val="11"/>
        <color rgb="FF000000"/>
        <rFont val="Calibri"/>
        <family val="2"/>
      </rPr>
      <t>島根県出雲市斐川町沖洲1690</t>
    </r>
  </si>
  <si>
    <r>
      <rPr>
        <sz val="11"/>
        <color rgb="FF000000"/>
        <rFont val="ＭＳ Ｐゴシック"/>
        <family val="2"/>
        <charset val="128"/>
      </rPr>
      <t>勝部牧場</t>
    </r>
    <rPh sb="0" eb="1">
      <t>カツベ</t>
    </rPh>
    <rPh sb="1" eb="3">
      <t>ボクジョウ</t>
    </rPh>
    <phoneticPr fontId="2"/>
  </si>
  <si>
    <r>
      <rPr>
        <sz val="11"/>
        <color rgb="FF000000"/>
        <rFont val="ＭＳ Ｐゴシック"/>
        <family val="2"/>
        <charset val="128"/>
      </rPr>
      <t>引取</t>
    </r>
    <rPh sb="0" eb="1">
      <t>ヒキト</t>
    </rPh>
    <phoneticPr fontId="2"/>
  </si>
  <si>
    <r>
      <rPr>
        <sz val="11"/>
        <color rgb="FF000000"/>
        <rFont val="ＭＳ Ｐゴシック"/>
        <family val="2"/>
        <charset val="128"/>
      </rPr>
      <t>おきす</t>
    </r>
    <phoneticPr fontId="2"/>
  </si>
  <si>
    <r>
      <rPr>
        <sz val="11"/>
        <color rgb="FF000000"/>
        <rFont val="Calibri"/>
        <family val="2"/>
      </rPr>
      <t>島根県出雲市斐川町沖洲1693</t>
    </r>
  </si>
  <si>
    <r>
      <rPr>
        <sz val="11"/>
        <color rgb="FF000000"/>
        <rFont val="ＭＳ Ｐゴシック"/>
        <family val="2"/>
        <charset val="128"/>
      </rPr>
      <t>勝部・板井牧場</t>
    </r>
    <rPh sb="0" eb="1">
      <t>カツベ</t>
    </rPh>
    <rPh sb="3" eb="5">
      <t>イタイ</t>
    </rPh>
    <rPh sb="5" eb="7">
      <t>ボクジョウ</t>
    </rPh>
    <phoneticPr fontId="2"/>
  </si>
  <si>
    <r>
      <t>11/29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Calibri"/>
        <family val="2"/>
      </rPr>
      <t>10</t>
    </r>
    <r>
      <rPr>
        <sz val="11"/>
        <color rgb="FF000000"/>
        <rFont val="游ゴシック"/>
        <family val="2"/>
        <charset val="128"/>
      </rPr>
      <t>本）</t>
    </r>
    <rPh sb="8" eb="9">
      <t>ホン</t>
    </rPh>
    <phoneticPr fontId="2"/>
  </si>
  <si>
    <r>
      <rPr>
        <sz val="11"/>
        <color rgb="FF000000"/>
        <rFont val="ＭＳ Ｐゴシック"/>
        <family val="2"/>
        <charset val="128"/>
      </rPr>
      <t>引取・運搬</t>
    </r>
    <rPh sb="0" eb="1">
      <t>ヒキト</t>
    </rPh>
    <rPh sb="3" eb="5">
      <t>ウンパン</t>
    </rPh>
    <phoneticPr fontId="2"/>
  </si>
  <si>
    <r>
      <t>/</t>
    </r>
    <r>
      <rPr>
        <sz val="11"/>
        <color rgb="FF000000"/>
        <rFont val="Calibri"/>
        <family val="2"/>
        <charset val="128"/>
      </rPr>
      <t>（残り</t>
    </r>
    <r>
      <rPr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  <charset val="128"/>
      </rPr>
      <t>本→板井牧場）</t>
    </r>
    <rPh sb="0" eb="1">
      <t>ノコ</t>
    </rPh>
    <rPh sb="3" eb="4">
      <t>ホン</t>
    </rPh>
    <rPh sb="5" eb="7">
      <t>イタイ</t>
    </rPh>
    <rPh sb="7" eb="9">
      <t>ボクジョウ</t>
    </rPh>
    <phoneticPr fontId="2"/>
  </si>
  <si>
    <r>
      <rPr>
        <sz val="11"/>
        <color rgb="FF000000"/>
        <rFont val="Calibri"/>
        <family val="2"/>
      </rPr>
      <t>島根県出雲市斐川町沖洲1695-1</t>
    </r>
  </si>
  <si>
    <r>
      <rPr>
        <sz val="11"/>
        <color rgb="FF000000"/>
        <rFont val="ＭＳ Ｐゴシック"/>
        <family val="2"/>
        <charset val="128"/>
      </rPr>
      <t>板井牧場</t>
    </r>
    <rPh sb="0" eb="3">
      <t>イタイボクジョウ</t>
    </rPh>
    <phoneticPr fontId="2"/>
  </si>
  <si>
    <r>
      <rPr>
        <sz val="11"/>
        <color rgb="FF000000"/>
        <rFont val="Calibri"/>
        <family val="2"/>
      </rPr>
      <t>島根県出雲市斐川町沖洲1736</t>
    </r>
  </si>
  <si>
    <r>
      <rPr>
        <sz val="11"/>
        <color rgb="FF000000"/>
        <rFont val="Calibri"/>
        <family val="2"/>
      </rPr>
      <t>島根県出雲市斐川町沖洲1739-1</t>
    </r>
  </si>
  <si>
    <r>
      <t>11/30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12</t>
    </r>
    <r>
      <rPr>
        <sz val="11"/>
        <color rgb="FF000000"/>
        <rFont val="ＭＳ Ｐゴシック"/>
        <family val="2"/>
        <charset val="128"/>
      </rPr>
      <t>本）</t>
    </r>
    <rPh sb="7" eb="8">
      <t>ホン</t>
    </rPh>
    <phoneticPr fontId="2"/>
  </si>
  <si>
    <r>
      <t>12/1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2</t>
    </r>
    <r>
      <rPr>
        <sz val="11"/>
        <color rgb="FF000000"/>
        <rFont val="ＭＳ Ｐゴシック"/>
        <family val="2"/>
        <charset val="128"/>
      </rPr>
      <t>本）</t>
    </r>
    <rPh sb="4" eb="5">
      <t>ノコ</t>
    </rPh>
    <rPh sb="7" eb="8">
      <t>ホン</t>
    </rPh>
    <phoneticPr fontId="2"/>
  </si>
  <si>
    <r>
      <rPr>
        <sz val="11"/>
        <color rgb="FF000000"/>
        <rFont val="Calibri"/>
        <family val="2"/>
      </rPr>
      <t>島根県出雲市斐川町沖洲1833</t>
    </r>
  </si>
  <si>
    <r>
      <rPr>
        <sz val="11"/>
        <color rgb="FF000000"/>
        <rFont val="Calibri"/>
        <family val="2"/>
      </rPr>
      <t>島根県出雲市斐川町沖洲1839</t>
    </r>
  </si>
  <si>
    <r>
      <t>12/15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12</t>
    </r>
    <r>
      <rPr>
        <sz val="11"/>
        <color rgb="FF000000"/>
        <rFont val="ＭＳ Ｐゴシック"/>
        <family val="2"/>
        <charset val="128"/>
      </rPr>
      <t>本）</t>
    </r>
    <rPh sb="7" eb="8">
      <t>ホン</t>
    </rPh>
    <phoneticPr fontId="2"/>
  </si>
  <si>
    <r>
      <t>12/16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12</t>
    </r>
    <r>
      <rPr>
        <sz val="11"/>
        <color rgb="FF000000"/>
        <rFont val="ＭＳ Ｐゴシック"/>
        <family val="2"/>
        <charset val="128"/>
      </rPr>
      <t>本）</t>
    </r>
    <rPh sb="5" eb="6">
      <t>ノコ</t>
    </rPh>
    <rPh sb="9" eb="10">
      <t>ホン</t>
    </rPh>
    <phoneticPr fontId="2"/>
  </si>
  <si>
    <r>
      <rPr>
        <sz val="11"/>
        <color rgb="FF000000"/>
        <rFont val="ＭＳ ゴシック"/>
        <family val="3"/>
        <charset val="128"/>
      </rPr>
      <t>島根県出雲市斐川町沖洲</t>
    </r>
    <r>
      <rPr>
        <sz val="11"/>
        <color rgb="FF000000"/>
        <rFont val="Calibri"/>
        <family val="2"/>
      </rPr>
      <t>1845-3-1-1</t>
    </r>
    <phoneticPr fontId="2"/>
  </si>
  <si>
    <r>
      <rPr>
        <sz val="11"/>
        <color rgb="FF000000"/>
        <rFont val="Calibri"/>
        <family val="2"/>
      </rPr>
      <t>島根県出雲市斐川町沖洲1851</t>
    </r>
  </si>
  <si>
    <r>
      <rPr>
        <sz val="11"/>
        <color rgb="FF000000"/>
        <rFont val="Calibri"/>
        <family val="2"/>
      </rPr>
      <t>島根県出雲市斐川町沖洲1882</t>
    </r>
  </si>
  <si>
    <r>
      <rPr>
        <sz val="11"/>
        <color rgb="FF000000"/>
        <rFont val="Calibri"/>
        <family val="2"/>
      </rPr>
      <t>島根県出雲市斐川町沖洲1891</t>
    </r>
  </si>
  <si>
    <r>
      <t>12/14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10</t>
    </r>
    <r>
      <rPr>
        <sz val="11"/>
        <color rgb="FF000000"/>
        <rFont val="ＭＳ Ｐゴシック"/>
        <family val="2"/>
        <charset val="128"/>
      </rPr>
      <t>本）</t>
    </r>
    <rPh sb="7" eb="8">
      <t>ホン</t>
    </rPh>
    <phoneticPr fontId="2"/>
  </si>
  <si>
    <r>
      <rPr>
        <sz val="11"/>
        <color rgb="FF000000"/>
        <rFont val="Calibri"/>
        <family val="2"/>
      </rPr>
      <t>島根県出雲市斐川町沖洲1905</t>
    </r>
  </si>
  <si>
    <r>
      <rPr>
        <sz val="11"/>
        <color rgb="FF000000"/>
        <rFont val="Calibri"/>
        <family val="2"/>
      </rPr>
      <t>島根県出雲市斐川町沖洲1948</t>
    </r>
  </si>
  <si>
    <r>
      <rPr>
        <sz val="11"/>
        <color rgb="FF000000"/>
        <rFont val="Calibri"/>
        <family val="2"/>
      </rPr>
      <t>島根県出雲市斐川町沖洲1949</t>
    </r>
  </si>
  <si>
    <r>
      <rPr>
        <sz val="11"/>
        <color rgb="FF000000"/>
        <rFont val="Calibri"/>
        <family val="2"/>
      </rPr>
      <t>島根県出雲市斐川町沖洲1950</t>
    </r>
  </si>
  <si>
    <r>
      <rPr>
        <sz val="11"/>
        <color rgb="FF000000"/>
        <rFont val="Calibri"/>
        <family val="2"/>
      </rPr>
      <t>島根県出雲市斐川町沖洲1952</t>
    </r>
  </si>
  <si>
    <r>
      <t>12/6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7</t>
    </r>
    <r>
      <rPr>
        <sz val="11"/>
        <color rgb="FF000000"/>
        <rFont val="ＭＳ Ｐゴシック"/>
        <family val="2"/>
        <charset val="128"/>
      </rPr>
      <t>本）</t>
    </r>
    <rPh sb="5" eb="6">
      <t>ホン</t>
    </rPh>
    <phoneticPr fontId="2"/>
  </si>
  <si>
    <r>
      <t>12/8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6</t>
    </r>
    <r>
      <rPr>
        <sz val="11"/>
        <color rgb="FF000000"/>
        <rFont val="ＭＳ Ｐゴシック"/>
        <family val="2"/>
        <charset val="128"/>
      </rPr>
      <t>本）</t>
    </r>
    <rPh sb="4" eb="5">
      <t>ノコ</t>
    </rPh>
    <rPh sb="7" eb="8">
      <t>ホン</t>
    </rPh>
    <phoneticPr fontId="2"/>
  </si>
  <si>
    <r>
      <rPr>
        <sz val="11"/>
        <color rgb="FF000000"/>
        <rFont val="Calibri"/>
        <family val="2"/>
      </rPr>
      <t>島根県出雲市斐川町沖洲1953</t>
    </r>
  </si>
  <si>
    <r>
      <rPr>
        <sz val="11"/>
        <color rgb="FF000000"/>
        <rFont val="Calibri"/>
        <family val="2"/>
      </rPr>
      <t>島根県出雲市斐川町沖洲1962</t>
    </r>
  </si>
  <si>
    <r>
      <t>12/4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12</t>
    </r>
    <r>
      <rPr>
        <sz val="11"/>
        <color rgb="FF000000"/>
        <rFont val="ＭＳ Ｐゴシック"/>
        <family val="2"/>
        <charset val="128"/>
      </rPr>
      <t>本）</t>
    </r>
    <rPh sb="4" eb="5">
      <t>ノコ</t>
    </rPh>
    <rPh sb="8" eb="9">
      <t>ホン</t>
    </rPh>
    <phoneticPr fontId="2"/>
  </si>
  <si>
    <r>
      <rPr>
        <sz val="11"/>
        <color rgb="FF000000"/>
        <rFont val="Calibri"/>
        <family val="2"/>
      </rPr>
      <t>島根県出雲市斐川町沖洲1989</t>
    </r>
  </si>
  <si>
    <r>
      <t>12/4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12</t>
    </r>
    <r>
      <rPr>
        <sz val="11"/>
        <color rgb="FF000000"/>
        <rFont val="ＭＳ Ｐゴシック"/>
        <family val="2"/>
        <charset val="128"/>
      </rPr>
      <t>本）</t>
    </r>
    <rPh sb="6" eb="7">
      <t>ホン</t>
    </rPh>
    <phoneticPr fontId="2"/>
  </si>
  <si>
    <r>
      <t>12/5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13</t>
    </r>
    <r>
      <rPr>
        <sz val="11"/>
        <color rgb="FF000000"/>
        <rFont val="ＭＳ Ｐゴシック"/>
        <family val="2"/>
        <charset val="128"/>
      </rPr>
      <t>本）</t>
    </r>
    <rPh sb="4" eb="5">
      <t>ノコ</t>
    </rPh>
    <rPh sb="8" eb="9">
      <t>ホン</t>
    </rPh>
    <phoneticPr fontId="2"/>
  </si>
  <si>
    <r>
      <rPr>
        <sz val="11"/>
        <color rgb="FF000000"/>
        <rFont val="Calibri"/>
        <family val="2"/>
      </rPr>
      <t>島根県出雲市斐川町沖洲2363</t>
    </r>
  </si>
  <si>
    <r>
      <t>12/9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12</t>
    </r>
    <r>
      <rPr>
        <sz val="11"/>
        <color rgb="FF000000"/>
        <rFont val="ＭＳ Ｐゴシック"/>
        <family val="2"/>
        <charset val="128"/>
      </rPr>
      <t>本）</t>
    </r>
    <rPh sb="6" eb="7">
      <t>ホン</t>
    </rPh>
    <phoneticPr fontId="2"/>
  </si>
  <si>
    <r>
      <t>12/14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6</t>
    </r>
    <r>
      <rPr>
        <sz val="11"/>
        <color rgb="FF000000"/>
        <rFont val="ＭＳ Ｐゴシック"/>
        <family val="2"/>
        <charset val="128"/>
      </rPr>
      <t>本）</t>
    </r>
    <rPh sb="5" eb="6">
      <t>ノコ</t>
    </rPh>
    <rPh sb="8" eb="9">
      <t>ホン</t>
    </rPh>
    <phoneticPr fontId="2"/>
  </si>
  <si>
    <r>
      <rPr>
        <sz val="11"/>
        <color rgb="FF000000"/>
        <rFont val="Calibri"/>
        <family val="2"/>
      </rPr>
      <t>島根県出雲市斐川町沖洲2365</t>
    </r>
  </si>
  <si>
    <r>
      <t>12/10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18</t>
    </r>
    <r>
      <rPr>
        <sz val="11"/>
        <color rgb="FF000000"/>
        <rFont val="ＭＳ Ｐゴシック"/>
        <family val="2"/>
        <charset val="128"/>
      </rPr>
      <t>本）</t>
    </r>
    <rPh sb="7" eb="8">
      <t>ホン</t>
    </rPh>
    <phoneticPr fontId="2"/>
  </si>
  <si>
    <r>
      <t>12/11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6</t>
    </r>
    <r>
      <rPr>
        <sz val="11"/>
        <color rgb="FF000000"/>
        <rFont val="ＭＳ Ｐゴシック"/>
        <family val="2"/>
        <charset val="128"/>
      </rPr>
      <t>本）</t>
    </r>
    <rPh sb="5" eb="6">
      <t>ノコ</t>
    </rPh>
    <rPh sb="8" eb="9">
      <t>ホン</t>
    </rPh>
    <phoneticPr fontId="2"/>
  </si>
  <si>
    <r>
      <rPr>
        <sz val="11"/>
        <color rgb="FF000000"/>
        <rFont val="Calibri"/>
        <family val="2"/>
      </rPr>
      <t>島根県出雲市斐川町沖洲2378</t>
    </r>
  </si>
  <si>
    <r>
      <rPr>
        <sz val="11"/>
        <color rgb="FF000000"/>
        <rFont val="Calibri"/>
        <family val="2"/>
      </rPr>
      <t>島根県出雲市斐川町沖洲2389</t>
    </r>
  </si>
  <si>
    <r>
      <t>12/12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6</t>
    </r>
    <r>
      <rPr>
        <sz val="11"/>
        <color rgb="FF000000"/>
        <rFont val="ＭＳ Ｐゴシック"/>
        <family val="2"/>
        <charset val="128"/>
      </rPr>
      <t>本）</t>
    </r>
    <rPh sb="6" eb="7">
      <t>ホン</t>
    </rPh>
    <phoneticPr fontId="2"/>
  </si>
  <si>
    <r>
      <t>12/13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4</t>
    </r>
    <r>
      <rPr>
        <sz val="11"/>
        <color rgb="FF000000"/>
        <rFont val="ＭＳ Ｐゴシック"/>
        <family val="2"/>
        <charset val="128"/>
      </rPr>
      <t>本）</t>
    </r>
    <rPh sb="5" eb="6">
      <t>ノコ</t>
    </rPh>
    <rPh sb="8" eb="9">
      <t>ホン</t>
    </rPh>
    <phoneticPr fontId="2"/>
  </si>
  <si>
    <r>
      <rPr>
        <sz val="11"/>
        <color rgb="FF000000"/>
        <rFont val="Calibri"/>
        <family val="2"/>
      </rPr>
      <t>島根県出雲市斐川町沖洲2391</t>
    </r>
  </si>
  <si>
    <r>
      <rPr>
        <sz val="11"/>
        <color rgb="FF000000"/>
        <rFont val="Calibri"/>
        <family val="2"/>
      </rPr>
      <t>島根県出雲市斐川町沖洲2395</t>
    </r>
  </si>
  <si>
    <r>
      <rPr>
        <sz val="11"/>
        <color rgb="FF000000"/>
        <rFont val="Calibri"/>
        <family val="2"/>
      </rPr>
      <t>島根県出雲市斐川町沖洲2397</t>
    </r>
  </si>
  <si>
    <r>
      <rPr>
        <sz val="11"/>
        <color rgb="FF000000"/>
        <rFont val="Calibri"/>
        <family val="2"/>
      </rPr>
      <t>島根県出雲市斐川町沖洲2399</t>
    </r>
  </si>
  <si>
    <r>
      <rPr>
        <sz val="11"/>
        <color rgb="FF000000"/>
        <rFont val="Calibri"/>
        <family val="2"/>
      </rPr>
      <t>島根県出雲市斐川町沖洲2900</t>
    </r>
  </si>
  <si>
    <r>
      <t>12/5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1</t>
    </r>
    <r>
      <rPr>
        <sz val="11"/>
        <color rgb="FF000000"/>
        <rFont val="ＭＳ Ｐゴシック"/>
        <family val="2"/>
        <charset val="128"/>
      </rPr>
      <t>本）</t>
    </r>
    <rPh sb="5" eb="6">
      <t>ホン</t>
    </rPh>
    <phoneticPr fontId="2"/>
  </si>
  <si>
    <r>
      <t>12/6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20</t>
    </r>
    <r>
      <rPr>
        <sz val="11"/>
        <color rgb="FF000000"/>
        <rFont val="ＭＳ Ｐゴシック"/>
        <family val="2"/>
        <charset val="128"/>
      </rPr>
      <t>本）</t>
    </r>
    <rPh sb="4" eb="5">
      <t>ノコ</t>
    </rPh>
    <rPh sb="8" eb="9">
      <t>ホン</t>
    </rPh>
    <phoneticPr fontId="2"/>
  </si>
  <si>
    <r>
      <rPr>
        <sz val="11"/>
        <color rgb="FF000000"/>
        <rFont val="Calibri"/>
        <family val="2"/>
      </rPr>
      <t>島根県出雲市斐川町沖洲2902</t>
    </r>
  </si>
  <si>
    <r>
      <rPr>
        <sz val="11"/>
        <color rgb="FF000000"/>
        <rFont val="Calibri"/>
        <family val="2"/>
      </rPr>
      <t>島根県出雲市斐川町沖洲2911</t>
    </r>
  </si>
  <si>
    <r>
      <rPr>
        <sz val="11"/>
        <color rgb="FF000000"/>
        <rFont val="Calibri"/>
        <family val="2"/>
      </rPr>
      <t>島根県出雲市斐川町沖洲2922（1）</t>
    </r>
  </si>
  <si>
    <r>
      <t>12/8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1</t>
    </r>
    <r>
      <rPr>
        <sz val="11"/>
        <color rgb="FF000000"/>
        <rFont val="ＭＳ Ｐゴシック"/>
        <family val="2"/>
        <charset val="128"/>
      </rPr>
      <t>本）</t>
    </r>
    <rPh sb="5" eb="6">
      <t>ホン</t>
    </rPh>
    <phoneticPr fontId="2"/>
  </si>
  <si>
    <r>
      <t>12/9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10</t>
    </r>
    <r>
      <rPr>
        <sz val="11"/>
        <color rgb="FF000000"/>
        <rFont val="ＭＳ Ｐゴシック"/>
        <family val="2"/>
        <charset val="128"/>
      </rPr>
      <t>本）</t>
    </r>
    <rPh sb="4" eb="5">
      <t>ノコ</t>
    </rPh>
    <rPh sb="8" eb="9">
      <t>ホン</t>
    </rPh>
    <phoneticPr fontId="2"/>
  </si>
  <si>
    <r>
      <rPr>
        <sz val="11"/>
        <color rgb="FF000000"/>
        <rFont val="Calibri"/>
        <family val="2"/>
      </rPr>
      <t>島根県出雲市斐川町沖洲2923</t>
    </r>
  </si>
  <si>
    <r>
      <rPr>
        <sz val="11"/>
        <color rgb="FF000000"/>
        <rFont val="Calibri"/>
        <family val="2"/>
      </rPr>
      <t>島根県出雲市斐川町沖洲2924</t>
    </r>
  </si>
  <si>
    <r>
      <rPr>
        <sz val="11"/>
        <color rgb="FF000000"/>
        <rFont val="Calibri"/>
        <family val="2"/>
      </rPr>
      <t>島根県出雲市斐川町中洲1674</t>
    </r>
  </si>
  <si>
    <r>
      <rPr>
        <sz val="11"/>
        <color rgb="FF000000"/>
        <rFont val="Calibri"/>
        <family val="2"/>
      </rPr>
      <t>島根県出雲市斐川町中洲1678</t>
    </r>
  </si>
  <si>
    <r>
      <rPr>
        <sz val="11"/>
        <color rgb="FF000000"/>
        <rFont val="Calibri"/>
        <family val="2"/>
      </rPr>
      <t>島根県出雲市斐川町中洲1702-1</t>
    </r>
  </si>
  <si>
    <r>
      <rPr>
        <sz val="11"/>
        <color rgb="FF000000"/>
        <rFont val="Calibri"/>
        <family val="2"/>
      </rPr>
      <t>島根県出雲市斐川町中洲1704-1</t>
    </r>
  </si>
  <si>
    <r>
      <rPr>
        <sz val="11"/>
        <color rgb="FF000000"/>
        <rFont val="Calibri"/>
        <family val="2"/>
      </rPr>
      <t>島根県出雲市斐川町三分市279</t>
    </r>
  </si>
  <si>
    <r>
      <rPr>
        <sz val="11"/>
        <color rgb="FF000000"/>
        <rFont val="Calibri"/>
        <family val="2"/>
      </rPr>
      <t>島根県出雲市斐川町三分市281</t>
    </r>
  </si>
  <si>
    <r>
      <rPr>
        <sz val="11"/>
        <color rgb="FF000000"/>
        <rFont val="Calibri"/>
        <family val="2"/>
      </rPr>
      <t>島根県出雲市斐川町三分市351-1</t>
    </r>
  </si>
  <si>
    <r>
      <rPr>
        <sz val="11"/>
        <color rgb="FF000000"/>
        <rFont val="Calibri"/>
        <family val="2"/>
      </rPr>
      <t>島根県出雲市斐川町三分市355-1</t>
    </r>
  </si>
  <si>
    <r>
      <rPr>
        <sz val="11"/>
        <color rgb="FF000000"/>
        <rFont val="Calibri"/>
        <family val="2"/>
      </rPr>
      <t>島根県出雲市斐川町坂田3</t>
    </r>
  </si>
  <si>
    <r>
      <rPr>
        <sz val="11"/>
        <color rgb="FF000000"/>
        <rFont val="Calibri"/>
        <family val="2"/>
      </rPr>
      <t>島根県出雲市斐川町坂田11</t>
    </r>
  </si>
  <si>
    <r>
      <rPr>
        <sz val="11"/>
        <color rgb="FF000000"/>
        <rFont val="Calibri"/>
        <family val="2"/>
      </rPr>
      <t>島根県出雲市斐川町坂田29</t>
    </r>
  </si>
  <si>
    <r>
      <rPr>
        <sz val="11"/>
        <color rgb="FF000000"/>
        <rFont val="Calibri"/>
        <family val="2"/>
      </rPr>
      <t>島根県出雲市斐川町坂田40</t>
    </r>
  </si>
  <si>
    <r>
      <rPr>
        <sz val="11"/>
        <color rgb="FF000000"/>
        <rFont val="Calibri"/>
        <family val="2"/>
      </rPr>
      <t>島根県出雲市斐川町坂田178</t>
    </r>
  </si>
  <si>
    <r>
      <rPr>
        <sz val="11"/>
        <color rgb="FF000000"/>
        <rFont val="Calibri"/>
        <family val="2"/>
      </rPr>
      <t>島根県出雲市斐川町坂田183</t>
    </r>
  </si>
  <si>
    <r>
      <rPr>
        <sz val="11"/>
        <color rgb="FF000000"/>
        <rFont val="Calibri"/>
        <family val="2"/>
      </rPr>
      <t>島根県出雲市斐川町坂田186</t>
    </r>
  </si>
  <si>
    <r>
      <rPr>
        <sz val="11"/>
        <color rgb="FF000000"/>
        <rFont val="Calibri"/>
        <family val="2"/>
      </rPr>
      <t>島根県出雲市斐川町坂田187</t>
    </r>
  </si>
  <si>
    <r>
      <rPr>
        <sz val="11"/>
        <color rgb="FF000000"/>
        <rFont val="Calibri"/>
        <family val="2"/>
      </rPr>
      <t>島根県出雲市斐川町坂田238-2</t>
    </r>
  </si>
  <si>
    <r>
      <rPr>
        <sz val="11"/>
        <color rgb="FF000000"/>
        <rFont val="Calibri"/>
        <family val="2"/>
      </rPr>
      <t>島根県出雲市斐川町坂田242</t>
    </r>
  </si>
  <si>
    <r>
      <rPr>
        <sz val="11"/>
        <color rgb="FF000000"/>
        <rFont val="Calibri"/>
        <family val="2"/>
      </rPr>
      <t>島根県出雲市斐川町黒目449</t>
    </r>
  </si>
  <si>
    <r>
      <rPr>
        <sz val="11"/>
        <color rgb="FF000000"/>
        <rFont val="ＭＳ Ｐゴシック"/>
        <family val="2"/>
        <charset val="128"/>
      </rPr>
      <t>糸川牧場</t>
    </r>
    <rPh sb="0" eb="1">
      <t>イトガワ</t>
    </rPh>
    <rPh sb="1" eb="3">
      <t>ボクジョウ</t>
    </rPh>
    <phoneticPr fontId="2"/>
  </si>
  <si>
    <r>
      <t>8/27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Calibri"/>
        <family val="2"/>
      </rPr>
      <t>42</t>
    </r>
    <r>
      <rPr>
        <sz val="11"/>
        <color rgb="FF000000"/>
        <rFont val="游ゴシック"/>
        <family val="2"/>
        <charset val="128"/>
      </rPr>
      <t>本）</t>
    </r>
    <rPh sb="7" eb="8">
      <t>ホン</t>
    </rPh>
    <phoneticPr fontId="2"/>
  </si>
  <si>
    <r>
      <t>8/28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5</t>
    </r>
    <r>
      <rPr>
        <sz val="11"/>
        <color rgb="FF000000"/>
        <rFont val="ＭＳ Ｐゴシック"/>
        <family val="2"/>
        <charset val="128"/>
      </rPr>
      <t>本）</t>
    </r>
    <rPh sb="4" eb="5">
      <t>ノコ</t>
    </rPh>
    <rPh sb="7" eb="8">
      <t>ホン</t>
    </rPh>
    <phoneticPr fontId="2"/>
  </si>
  <si>
    <r>
      <rPr>
        <sz val="11"/>
        <color rgb="FF000000"/>
        <rFont val="ＭＳ Ｐゴシック"/>
        <family val="2"/>
        <charset val="128"/>
      </rPr>
      <t>米らいふ</t>
    </r>
    <phoneticPr fontId="2"/>
  </si>
  <si>
    <r>
      <rPr>
        <sz val="11"/>
        <color rgb="FF000000"/>
        <rFont val="Calibri"/>
        <family val="2"/>
      </rPr>
      <t>島根県出雲市斐川町黒目451</t>
    </r>
  </si>
  <si>
    <r>
      <rPr>
        <sz val="11"/>
        <color rgb="FF000000"/>
        <rFont val="ＭＳ Ｐゴシック"/>
        <family val="2"/>
        <charset val="128"/>
      </rPr>
      <t>糸川牧場</t>
    </r>
    <rPh sb="0" eb="2">
      <t>ボクジョウ</t>
    </rPh>
    <phoneticPr fontId="2"/>
  </si>
  <si>
    <r>
      <t>8/28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Calibri"/>
        <family val="2"/>
      </rPr>
      <t>53</t>
    </r>
    <r>
      <rPr>
        <sz val="11"/>
        <color rgb="FF000000"/>
        <rFont val="游ゴシック"/>
        <family val="2"/>
        <charset val="128"/>
      </rPr>
      <t>本）</t>
    </r>
    <rPh sb="7" eb="8">
      <t>ホン</t>
    </rPh>
    <phoneticPr fontId="2"/>
  </si>
  <si>
    <r>
      <rPr>
        <sz val="11"/>
        <color rgb="FF000000"/>
        <rFont val="Calibri"/>
        <family val="2"/>
      </rPr>
      <t>島根県出雲市斐川町黒目499</t>
    </r>
  </si>
  <si>
    <r>
      <t>8/28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Calibri"/>
        <family val="2"/>
      </rPr>
      <t>6</t>
    </r>
    <r>
      <rPr>
        <sz val="11"/>
        <color rgb="FF000000"/>
        <rFont val="游ゴシック"/>
        <family val="2"/>
        <charset val="128"/>
      </rPr>
      <t>本）</t>
    </r>
    <phoneticPr fontId="2"/>
  </si>
  <si>
    <r>
      <t>8/29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13</t>
    </r>
    <r>
      <rPr>
        <sz val="11"/>
        <color rgb="FF000000"/>
        <rFont val="ＭＳ Ｐゴシック"/>
        <family val="2"/>
        <charset val="128"/>
      </rPr>
      <t>本）</t>
    </r>
    <rPh sb="4" eb="5">
      <t>ノコ</t>
    </rPh>
    <phoneticPr fontId="2"/>
  </si>
  <si>
    <r>
      <rPr>
        <sz val="11"/>
        <color rgb="FF000000"/>
        <rFont val="Calibri"/>
        <family val="2"/>
      </rPr>
      <t>島根県出雲市斐川町黒目500</t>
    </r>
  </si>
  <si>
    <r>
      <rPr>
        <sz val="11"/>
        <color rgb="FF000000"/>
        <rFont val="ＭＳ Ｐゴシック"/>
        <family val="2"/>
        <charset val="128"/>
      </rPr>
      <t>糸川・原</t>
    </r>
    <rPh sb="0" eb="1">
      <t>イトガワ</t>
    </rPh>
    <rPh sb="2" eb="3">
      <t>ハラ</t>
    </rPh>
    <phoneticPr fontId="2"/>
  </si>
  <si>
    <r>
      <t>9/8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52</t>
    </r>
    <r>
      <rPr>
        <sz val="11"/>
        <color rgb="FF000000"/>
        <rFont val="ＭＳ Ｐゴシック"/>
        <family val="2"/>
        <charset val="128"/>
      </rPr>
      <t>本）</t>
    </r>
    <phoneticPr fontId="2"/>
  </si>
  <si>
    <r>
      <t>9/9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Calibri"/>
        <family val="2"/>
      </rPr>
      <t>24</t>
    </r>
    <r>
      <rPr>
        <sz val="11"/>
        <color rgb="FF000000"/>
        <rFont val="游ゴシック"/>
        <family val="2"/>
        <charset val="128"/>
      </rPr>
      <t>本）・</t>
    </r>
    <r>
      <rPr>
        <sz val="11"/>
        <color rgb="FF000000"/>
        <rFont val="Calibri"/>
        <family val="2"/>
      </rPr>
      <t>9/10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Calibri"/>
        <family val="2"/>
      </rPr>
      <t>6</t>
    </r>
    <r>
      <rPr>
        <sz val="11"/>
        <color rgb="FF000000"/>
        <rFont val="游ゴシック"/>
        <family val="2"/>
        <charset val="128"/>
      </rPr>
      <t>本）</t>
    </r>
    <rPh sb="5" eb="6">
      <t>ホン</t>
    </rPh>
    <phoneticPr fontId="2"/>
  </si>
  <si>
    <r>
      <rPr>
        <sz val="11"/>
        <color rgb="FF000000"/>
        <rFont val="Calibri"/>
        <family val="2"/>
      </rPr>
      <t>島根県出雲市斐川町黒目2325-1</t>
    </r>
  </si>
  <si>
    <r>
      <rPr>
        <sz val="11"/>
        <color rgb="FF000000"/>
        <rFont val="Calibri"/>
        <family val="2"/>
      </rPr>
      <t>島根県出雲市斐川町三分市3113</t>
    </r>
  </si>
  <si>
    <r>
      <t>9/24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2</t>
    </r>
    <r>
      <rPr>
        <sz val="11"/>
        <color rgb="FF000000"/>
        <rFont val="ＭＳ Ｐゴシック"/>
        <family val="2"/>
        <charset val="128"/>
      </rPr>
      <t>本）</t>
    </r>
    <rPh sb="5" eb="6">
      <t>ホン</t>
    </rPh>
    <phoneticPr fontId="2"/>
  </si>
  <si>
    <r>
      <t>9/25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71</t>
    </r>
    <r>
      <rPr>
        <sz val="11"/>
        <color rgb="FF000000"/>
        <rFont val="ＭＳ Ｐゴシック"/>
        <family val="2"/>
        <charset val="128"/>
      </rPr>
      <t>本）</t>
    </r>
    <rPh sb="6" eb="7">
      <t>ホン</t>
    </rPh>
    <phoneticPr fontId="2"/>
  </si>
  <si>
    <r>
      <rPr>
        <sz val="11"/>
        <color rgb="FF000000"/>
        <rFont val="ＭＳ Ｐゴシック"/>
        <family val="2"/>
        <charset val="128"/>
      </rPr>
      <t>錦織農園</t>
    </r>
    <rPh sb="0" eb="2">
      <t>ニシコオリノウエン</t>
    </rPh>
    <phoneticPr fontId="2"/>
  </si>
  <si>
    <r>
      <rPr>
        <sz val="11"/>
        <color rgb="FF000000"/>
        <rFont val="Calibri"/>
        <family val="2"/>
      </rPr>
      <t>島根県出雲市斐川町三分市3127-1</t>
    </r>
  </si>
  <si>
    <r>
      <t>9/25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73</t>
    </r>
    <r>
      <rPr>
        <sz val="11"/>
        <color rgb="FF000000"/>
        <rFont val="ＭＳ Ｐゴシック"/>
        <family val="2"/>
        <charset val="128"/>
      </rPr>
      <t>本）</t>
    </r>
    <rPh sb="6" eb="7">
      <t>ホン</t>
    </rPh>
    <phoneticPr fontId="2"/>
  </si>
  <si>
    <r>
      <t>9/26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7</t>
    </r>
    <r>
      <rPr>
        <sz val="11"/>
        <color rgb="FF000000"/>
        <rFont val="ＭＳ Ｐゴシック"/>
        <family val="2"/>
        <charset val="128"/>
      </rPr>
      <t>本）</t>
    </r>
    <rPh sb="5" eb="6">
      <t>ホン</t>
    </rPh>
    <phoneticPr fontId="2"/>
  </si>
  <si>
    <r>
      <rPr>
        <sz val="11"/>
        <color rgb="FF000000"/>
        <rFont val="Calibri"/>
        <family val="2"/>
      </rPr>
      <t>島根県出雲市斐川町三分市3130-1</t>
    </r>
  </si>
  <si>
    <r>
      <rPr>
        <sz val="11"/>
        <color rgb="FF000000"/>
        <rFont val="Calibri"/>
        <family val="2"/>
      </rPr>
      <t>島根県出雲市斐川町三分市3455</t>
    </r>
  </si>
  <si>
    <r>
      <rPr>
        <sz val="11"/>
        <color rgb="FF000000"/>
        <rFont val="Calibri"/>
        <family val="2"/>
      </rPr>
      <t>島根県出雲市斐川町三分市3539</t>
    </r>
  </si>
  <si>
    <r>
      <t>7/28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Calibri"/>
        <family val="2"/>
      </rPr>
      <t>59</t>
    </r>
    <r>
      <rPr>
        <sz val="11"/>
        <color rgb="FF000000"/>
        <rFont val="游ゴシック"/>
        <family val="2"/>
        <charset val="128"/>
      </rPr>
      <t>本）</t>
    </r>
    <rPh sb="7" eb="8">
      <t>ホン</t>
    </rPh>
    <phoneticPr fontId="2"/>
  </si>
  <si>
    <r>
      <t>7/29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ＭＳ Ｐゴシック"/>
        <family val="2"/>
        <charset val="128"/>
      </rPr>
      <t>残り</t>
    </r>
    <r>
      <rPr>
        <sz val="11"/>
        <color rgb="FF000000"/>
        <rFont val="Calibri"/>
        <family val="2"/>
      </rPr>
      <t>5</t>
    </r>
    <r>
      <rPr>
        <sz val="11"/>
        <color rgb="FF000000"/>
        <rFont val="ＭＳ Ｐゴシック"/>
        <family val="2"/>
        <charset val="128"/>
      </rPr>
      <t>本）</t>
    </r>
    <rPh sb="3" eb="4">
      <t>ノコ</t>
    </rPh>
    <rPh sb="7" eb="8">
      <t>ホン</t>
    </rPh>
    <phoneticPr fontId="2"/>
  </si>
  <si>
    <r>
      <rPr>
        <sz val="11"/>
        <color rgb="FF000000"/>
        <rFont val="Calibri"/>
        <family val="2"/>
      </rPr>
      <t>島根県出雲市斐川町三分市3544</t>
    </r>
  </si>
  <si>
    <r>
      <t>7/26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Calibri"/>
        <family val="2"/>
      </rPr>
      <t>27</t>
    </r>
    <r>
      <rPr>
        <sz val="11"/>
        <color rgb="FF000000"/>
        <rFont val="游ゴシック"/>
        <family val="2"/>
        <charset val="128"/>
      </rPr>
      <t>本）</t>
    </r>
    <rPh sb="7" eb="8">
      <t>ホン</t>
    </rPh>
    <phoneticPr fontId="2"/>
  </si>
  <si>
    <r>
      <t>7/28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ＭＳ Ｐゴシック"/>
        <family val="2"/>
        <charset val="128"/>
      </rPr>
      <t>残り</t>
    </r>
    <r>
      <rPr>
        <sz val="11"/>
        <color rgb="FF000000"/>
        <rFont val="Calibri"/>
        <family val="2"/>
      </rPr>
      <t>43</t>
    </r>
    <r>
      <rPr>
        <sz val="11"/>
        <color rgb="FF000000"/>
        <rFont val="ＭＳ Ｐゴシック"/>
        <family val="2"/>
        <charset val="128"/>
      </rPr>
      <t>本）</t>
    </r>
    <rPh sb="3" eb="4">
      <t>ノコ</t>
    </rPh>
    <rPh sb="8" eb="9">
      <t>ホン</t>
    </rPh>
    <phoneticPr fontId="2"/>
  </si>
  <si>
    <r>
      <rPr>
        <sz val="11"/>
        <color rgb="FF000000"/>
        <rFont val="Calibri"/>
        <family val="2"/>
      </rPr>
      <t>島根県出雲市斐川町三分市3549</t>
    </r>
  </si>
  <si>
    <r>
      <t>7/25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Calibri"/>
        <family val="2"/>
      </rPr>
      <t>10</t>
    </r>
    <r>
      <rPr>
        <sz val="11"/>
        <color rgb="FF000000"/>
        <rFont val="游ゴシック"/>
        <family val="2"/>
        <charset val="128"/>
      </rPr>
      <t>本）</t>
    </r>
    <rPh sb="7" eb="8">
      <t>ホン</t>
    </rPh>
    <phoneticPr fontId="2"/>
  </si>
  <si>
    <r>
      <t>7/26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ＭＳ Ｐゴシック"/>
        <family val="2"/>
        <charset val="128"/>
      </rPr>
      <t>残り</t>
    </r>
    <r>
      <rPr>
        <sz val="11"/>
        <color rgb="FF000000"/>
        <rFont val="Calibri"/>
        <family val="2"/>
      </rPr>
      <t>69</t>
    </r>
    <r>
      <rPr>
        <sz val="11"/>
        <color rgb="FF000000"/>
        <rFont val="ＭＳ Ｐゴシック"/>
        <family val="2"/>
        <charset val="128"/>
      </rPr>
      <t>本）</t>
    </r>
    <rPh sb="3" eb="4">
      <t>ノコ</t>
    </rPh>
    <rPh sb="8" eb="9">
      <t>ホン</t>
    </rPh>
    <phoneticPr fontId="2"/>
  </si>
  <si>
    <r>
      <rPr>
        <sz val="11"/>
        <color rgb="FF000000"/>
        <rFont val="Calibri"/>
        <family val="2"/>
      </rPr>
      <t>島根県出雲市斐川町三分市3571</t>
    </r>
  </si>
  <si>
    <r>
      <rPr>
        <sz val="11"/>
        <color rgb="FF000000"/>
        <rFont val="Calibri"/>
        <family val="2"/>
      </rPr>
      <t>島根県出雲市斐川町三分市3576</t>
    </r>
  </si>
  <si>
    <r>
      <t>9/23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96</t>
    </r>
    <r>
      <rPr>
        <sz val="11"/>
        <color rgb="FF000000"/>
        <rFont val="ＭＳ Ｐゴシック"/>
        <family val="2"/>
        <charset val="128"/>
      </rPr>
      <t>本）</t>
    </r>
    <rPh sb="6" eb="7">
      <t>ホン</t>
    </rPh>
    <phoneticPr fontId="2"/>
  </si>
  <si>
    <r>
      <t>9/24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47</t>
    </r>
    <r>
      <rPr>
        <sz val="11"/>
        <color rgb="FF000000"/>
        <rFont val="ＭＳ Ｐゴシック"/>
        <family val="2"/>
        <charset val="128"/>
      </rPr>
      <t>本）</t>
    </r>
    <rPh sb="6" eb="7">
      <t>ホン</t>
    </rPh>
    <phoneticPr fontId="2"/>
  </si>
  <si>
    <r>
      <rPr>
        <sz val="11"/>
        <color rgb="FF000000"/>
        <rFont val="Calibri"/>
        <family val="2"/>
      </rPr>
      <t>島根県出雲市斐川町三分市3581</t>
    </r>
  </si>
  <si>
    <r>
      <rPr>
        <sz val="11"/>
        <color rgb="FF000000"/>
        <rFont val="Calibri"/>
        <family val="2"/>
      </rPr>
      <t>島根県出雲市斐川町三分市3563</t>
    </r>
  </si>
  <si>
    <r>
      <rPr>
        <sz val="11"/>
        <color rgb="FF000000"/>
        <rFont val="Calibri"/>
        <family val="2"/>
      </rPr>
      <t>島根県出雲市斐川町坂田2606-1</t>
    </r>
  </si>
  <si>
    <r>
      <rPr>
        <sz val="11"/>
        <color rgb="FF000000"/>
        <rFont val="Calibri"/>
        <family val="2"/>
      </rPr>
      <t>島根県出雲市斐川町坂田2610</t>
    </r>
  </si>
  <si>
    <r>
      <rPr>
        <sz val="11"/>
        <color rgb="FF000000"/>
        <rFont val="ＭＳ ゴシック"/>
        <family val="3"/>
        <charset val="128"/>
      </rPr>
      <t>島根県出雲市斐川町坂田</t>
    </r>
    <r>
      <rPr>
        <sz val="11"/>
        <color rgb="FF000000"/>
        <rFont val="Calibri"/>
        <family val="2"/>
      </rPr>
      <t>2614-1-1</t>
    </r>
    <r>
      <rPr>
        <sz val="11"/>
        <color rgb="FF000000"/>
        <rFont val="ＭＳ ゴシック"/>
        <family val="3"/>
        <charset val="128"/>
      </rPr>
      <t>（</t>
    </r>
    <r>
      <rPr>
        <sz val="11"/>
        <color rgb="FF000000"/>
        <rFont val="Calibri"/>
        <family val="2"/>
      </rPr>
      <t>1</t>
    </r>
    <r>
      <rPr>
        <sz val="11"/>
        <color rgb="FF000000"/>
        <rFont val="ＭＳ ゴシック"/>
        <family val="3"/>
        <charset val="128"/>
      </rPr>
      <t>）</t>
    </r>
    <phoneticPr fontId="2"/>
  </si>
  <si>
    <r>
      <rPr>
        <sz val="11"/>
        <color rgb="FF000000"/>
        <rFont val="Calibri"/>
        <family val="2"/>
      </rPr>
      <t>島根県出雲市斐川町坂田2620</t>
    </r>
  </si>
  <si>
    <r>
      <rPr>
        <sz val="11"/>
        <color rgb="FF000000"/>
        <rFont val="Calibri"/>
        <family val="2"/>
      </rPr>
      <t>島根県出雲市斐川町坂田2622</t>
    </r>
  </si>
  <si>
    <r>
      <rPr>
        <sz val="11"/>
        <color rgb="FF000000"/>
        <rFont val="Calibri"/>
        <family val="2"/>
      </rPr>
      <t>島根県出雲市斐川町坂田2628</t>
    </r>
  </si>
  <si>
    <r>
      <rPr>
        <sz val="11"/>
        <color rgb="FF000000"/>
        <rFont val="Calibri"/>
        <family val="2"/>
      </rPr>
      <t>島根県出雲市斐川町坂田2635</t>
    </r>
  </si>
  <si>
    <r>
      <rPr>
        <sz val="11"/>
        <color rgb="FF000000"/>
        <rFont val="Calibri"/>
        <family val="2"/>
      </rPr>
      <t>島根県出雲市斐川町坂田653</t>
    </r>
  </si>
  <si>
    <r>
      <rPr>
        <sz val="11"/>
        <color rgb="FF000000"/>
        <rFont val="ＭＳ Ｐゴシック"/>
        <family val="2"/>
        <charset val="128"/>
      </rPr>
      <t>錦織農園</t>
    </r>
    <rPh sb="0" eb="1">
      <t>ニシコオリ</t>
    </rPh>
    <rPh sb="1" eb="3">
      <t>ノウエン</t>
    </rPh>
    <phoneticPr fontId="2"/>
  </si>
  <si>
    <r>
      <rPr>
        <sz val="11"/>
        <color rgb="FF000000"/>
        <rFont val="Calibri"/>
        <family val="2"/>
      </rPr>
      <t>島根県出雲市斐川町坂田661</t>
    </r>
  </si>
  <si>
    <r>
      <t>7/26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59</t>
    </r>
    <r>
      <rPr>
        <sz val="11"/>
        <color rgb="FF000000"/>
        <rFont val="ＭＳ Ｐゴシック"/>
        <family val="2"/>
        <charset val="128"/>
      </rPr>
      <t>本）</t>
    </r>
    <phoneticPr fontId="2"/>
  </si>
  <si>
    <r>
      <t>7/28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ＭＳ Ｐゴシック"/>
        <family val="2"/>
        <charset val="128"/>
      </rPr>
      <t>残り</t>
    </r>
    <r>
      <rPr>
        <sz val="11"/>
        <color rgb="FF000000"/>
        <rFont val="Calibri"/>
        <family val="2"/>
      </rPr>
      <t>7</t>
    </r>
    <r>
      <rPr>
        <sz val="11"/>
        <color rgb="FF000000"/>
        <rFont val="ＭＳ Ｐゴシック"/>
        <family val="2"/>
        <charset val="128"/>
      </rPr>
      <t>本）</t>
    </r>
    <rPh sb="3" eb="4">
      <t>ノコ</t>
    </rPh>
    <rPh sb="7" eb="8">
      <t>ホン</t>
    </rPh>
    <phoneticPr fontId="2"/>
  </si>
  <si>
    <r>
      <rPr>
        <sz val="11"/>
        <color rgb="FF000000"/>
        <rFont val="Calibri"/>
        <family val="2"/>
      </rPr>
      <t>錦織農園</t>
    </r>
    <rPh sb="0" eb="1">
      <t>ニシコオリ</t>
    </rPh>
    <rPh sb="1" eb="3">
      <t>ノウエン</t>
    </rPh>
    <phoneticPr fontId="2"/>
  </si>
  <si>
    <r>
      <rPr>
        <sz val="11"/>
        <color rgb="FF000000"/>
        <rFont val="Calibri"/>
        <family val="2"/>
      </rPr>
      <t>島根県出雲市斐川町坂田695</t>
    </r>
  </si>
  <si>
    <r>
      <rPr>
        <sz val="11"/>
        <color rgb="FF000000"/>
        <rFont val="Calibri"/>
        <family val="2"/>
      </rPr>
      <t>島根県出雲市斐川町坂田709</t>
    </r>
  </si>
  <si>
    <r>
      <t>7/25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Calibri"/>
        <family val="2"/>
      </rPr>
      <t>18</t>
    </r>
    <r>
      <rPr>
        <sz val="11"/>
        <color rgb="FF000000"/>
        <rFont val="游ゴシック"/>
        <family val="2"/>
        <charset val="128"/>
      </rPr>
      <t>本）</t>
    </r>
    <rPh sb="7" eb="8">
      <t>ホン</t>
    </rPh>
    <phoneticPr fontId="2"/>
  </si>
  <si>
    <r>
      <t>7/26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ＭＳ Ｐゴシック"/>
        <family val="2"/>
        <charset val="128"/>
      </rPr>
      <t>残り</t>
    </r>
    <r>
      <rPr>
        <sz val="11"/>
        <color rgb="FF000000"/>
        <rFont val="Calibri"/>
        <family val="2"/>
      </rPr>
      <t>36</t>
    </r>
    <r>
      <rPr>
        <sz val="11"/>
        <color rgb="FF000000"/>
        <rFont val="ＭＳ Ｐゴシック"/>
        <family val="2"/>
        <charset val="128"/>
      </rPr>
      <t>本）</t>
    </r>
    <rPh sb="3" eb="4">
      <t>ノコ</t>
    </rPh>
    <rPh sb="8" eb="9">
      <t>ホン</t>
    </rPh>
    <phoneticPr fontId="2"/>
  </si>
  <si>
    <r>
      <rPr>
        <sz val="11"/>
        <color rgb="FF000000"/>
        <rFont val="Calibri"/>
        <family val="2"/>
      </rPr>
      <t>島根県出雲市斐川町坂田716</t>
    </r>
  </si>
  <si>
    <r>
      <rPr>
        <sz val="11"/>
        <color rgb="FF000000"/>
        <rFont val="Calibri"/>
        <family val="2"/>
      </rPr>
      <t>島根県出雲市斐川町坂田739</t>
    </r>
  </si>
  <si>
    <r>
      <rPr>
        <sz val="11"/>
        <color rgb="FF000000"/>
        <rFont val="Calibri"/>
        <family val="2"/>
      </rPr>
      <t>島根県出雲市斐川町坂田752</t>
    </r>
  </si>
  <si>
    <r>
      <rPr>
        <sz val="11"/>
        <color rgb="FF000000"/>
        <rFont val="Calibri"/>
        <family val="2"/>
      </rPr>
      <t>島根県出雲市斐川町坂田754</t>
    </r>
  </si>
  <si>
    <r>
      <rPr>
        <sz val="11"/>
        <color rgb="FF000000"/>
        <rFont val="Calibri"/>
        <family val="2"/>
      </rPr>
      <t>島根県出雲市斐川町坂田755</t>
    </r>
  </si>
  <si>
    <r>
      <rPr>
        <sz val="11"/>
        <color rgb="FF000000"/>
        <rFont val="Calibri"/>
        <family val="2"/>
      </rPr>
      <t>島根県出雲市斐川町坂田756</t>
    </r>
  </si>
  <si>
    <r>
      <rPr>
        <sz val="11"/>
        <color rgb="FF000000"/>
        <rFont val="Calibri"/>
        <family val="2"/>
      </rPr>
      <t>島根県出雲市斐川町坂田764-1</t>
    </r>
  </si>
  <si>
    <r>
      <rPr>
        <sz val="11"/>
        <color rgb="FF000000"/>
        <rFont val="Calibri"/>
        <family val="2"/>
      </rPr>
      <t>島根県出雲市斐川町坂田765</t>
    </r>
  </si>
  <si>
    <r>
      <rPr>
        <sz val="11"/>
        <color rgb="FF000000"/>
        <rFont val="Calibri"/>
        <family val="2"/>
      </rPr>
      <t>島根県出雲市斐川町坂田766</t>
    </r>
  </si>
  <si>
    <r>
      <rPr>
        <sz val="11"/>
        <color rgb="FF000000"/>
        <rFont val="Calibri"/>
        <family val="2"/>
      </rPr>
      <t>島根県出雲市斐川町今在家1229</t>
    </r>
  </si>
  <si>
    <r>
      <rPr>
        <sz val="11"/>
        <color rgb="FF000000"/>
        <rFont val="Calibri"/>
        <family val="2"/>
      </rPr>
      <t>島根県出雲市斐川町今在家1281</t>
    </r>
  </si>
  <si>
    <r>
      <rPr>
        <sz val="11"/>
        <color rgb="FF000000"/>
        <rFont val="Calibri"/>
        <family val="2"/>
      </rPr>
      <t>島根県出雲市斐川町今在家1286</t>
    </r>
  </si>
  <si>
    <r>
      <rPr>
        <sz val="11"/>
        <color rgb="FF000000"/>
        <rFont val="Calibri"/>
        <family val="2"/>
      </rPr>
      <t>島根県出雲市斐川町今在家1291</t>
    </r>
  </si>
  <si>
    <r>
      <rPr>
        <sz val="11"/>
        <color rgb="FF000000"/>
        <rFont val="Calibri"/>
        <family val="2"/>
      </rPr>
      <t>島根県出雲市斐川町今在家1301</t>
    </r>
  </si>
  <si>
    <r>
      <rPr>
        <sz val="11"/>
        <color rgb="FF000000"/>
        <rFont val="Calibri"/>
        <family val="2"/>
      </rPr>
      <t>島根県出雲市斐川町今在家1314</t>
    </r>
  </si>
  <si>
    <r>
      <rPr>
        <sz val="11"/>
        <color rgb="FF000000"/>
        <rFont val="Calibri"/>
        <family val="2"/>
      </rPr>
      <t>島根県出雲市斐川町中洲668</t>
    </r>
  </si>
  <si>
    <r>
      <t>9/10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24</t>
    </r>
    <r>
      <rPr>
        <sz val="11"/>
        <color rgb="FF000000"/>
        <rFont val="ＭＳ Ｐゴシック"/>
        <family val="2"/>
        <charset val="128"/>
      </rPr>
      <t>本）</t>
    </r>
    <rPh sb="6" eb="7">
      <t>ホン</t>
    </rPh>
    <phoneticPr fontId="2"/>
  </si>
  <si>
    <r>
      <t>9/13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2</t>
    </r>
    <r>
      <rPr>
        <sz val="11"/>
        <color rgb="FF000000"/>
        <rFont val="ＭＳ Ｐゴシック"/>
        <family val="2"/>
        <charset val="128"/>
      </rPr>
      <t>本）</t>
    </r>
    <rPh sb="4" eb="5">
      <t>ノコ</t>
    </rPh>
    <rPh sb="7" eb="8">
      <t>ホン</t>
    </rPh>
    <phoneticPr fontId="2"/>
  </si>
  <si>
    <r>
      <rPr>
        <sz val="11"/>
        <color rgb="FF000000"/>
        <rFont val="Calibri"/>
        <family val="2"/>
      </rPr>
      <t>島根県出雲市斐川町中洲675</t>
    </r>
  </si>
  <si>
    <r>
      <t>9/13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22</t>
    </r>
    <r>
      <rPr>
        <sz val="11"/>
        <color rgb="FF000000"/>
        <rFont val="ＭＳ Ｐゴシック"/>
        <family val="2"/>
        <charset val="128"/>
      </rPr>
      <t>本）</t>
    </r>
    <rPh sb="6" eb="7">
      <t>ホン</t>
    </rPh>
    <phoneticPr fontId="2"/>
  </si>
  <si>
    <r>
      <t>9/26</t>
    </r>
    <r>
      <rPr>
        <sz val="11"/>
        <color rgb="FF000000"/>
        <rFont val="ＭＳ Ｐゴシック"/>
        <family val="2"/>
        <charset val="128"/>
      </rPr>
      <t>（</t>
    </r>
    <r>
      <rPr>
        <sz val="11"/>
        <color rgb="FF000000"/>
        <rFont val="Calibri"/>
        <family val="2"/>
      </rPr>
      <t>48</t>
    </r>
    <r>
      <rPr>
        <sz val="11"/>
        <color rgb="FF000000"/>
        <rFont val="ＭＳ Ｐゴシック"/>
        <family val="2"/>
        <charset val="128"/>
      </rPr>
      <t>本）</t>
    </r>
    <r>
      <rPr>
        <sz val="11"/>
        <color rgb="FF000000"/>
        <rFont val="游ゴシック"/>
        <family val="2"/>
        <charset val="128"/>
      </rPr>
      <t>・</t>
    </r>
    <r>
      <rPr>
        <sz val="11"/>
        <color rgb="FF000000"/>
        <rFont val="Calibri"/>
        <family val="2"/>
      </rPr>
      <t>9/30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Calibri"/>
        <family val="2"/>
      </rPr>
      <t>16</t>
    </r>
    <r>
      <rPr>
        <sz val="11"/>
        <color rgb="FF000000"/>
        <rFont val="游ゴシック"/>
        <family val="2"/>
        <charset val="128"/>
      </rPr>
      <t>本）</t>
    </r>
    <rPh sb="6" eb="7">
      <t>ホン</t>
    </rPh>
    <rPh sb="17" eb="18">
      <t>ホン</t>
    </rPh>
    <phoneticPr fontId="2"/>
  </si>
  <si>
    <r>
      <rPr>
        <sz val="11"/>
        <color rgb="FF000000"/>
        <rFont val="Calibri"/>
        <family val="2"/>
      </rPr>
      <t>島根県出雲市斐川町中洲687</t>
    </r>
  </si>
  <si>
    <r>
      <rPr>
        <sz val="11"/>
        <color rgb="FF000000"/>
        <rFont val="Calibri"/>
        <family val="2"/>
      </rPr>
      <t>島根県出雲市斐川町中洲689-1</t>
    </r>
  </si>
  <si>
    <r>
      <rPr>
        <sz val="11"/>
        <color rgb="FF000000"/>
        <rFont val="Calibri"/>
        <family val="2"/>
      </rPr>
      <t>島根県出雲市斐川町中洲691</t>
    </r>
  </si>
  <si>
    <r>
      <rPr>
        <sz val="11"/>
        <color rgb="FF000000"/>
        <rFont val="Calibri"/>
        <family val="2"/>
      </rPr>
      <t>島根県出雲市斐川町中洲765</t>
    </r>
  </si>
  <si>
    <r>
      <rPr>
        <sz val="11"/>
        <color rgb="FF000000"/>
        <rFont val="Calibri"/>
        <family val="2"/>
      </rPr>
      <t>島根県出雲市斐川町中洲773</t>
    </r>
  </si>
  <si>
    <r>
      <rPr>
        <sz val="11"/>
        <color rgb="FF000000"/>
        <rFont val="Calibri"/>
        <family val="2"/>
      </rPr>
      <t>島根県出雲市斐川町中洲776</t>
    </r>
  </si>
  <si>
    <r>
      <rPr>
        <sz val="11"/>
        <color rgb="FF000000"/>
        <rFont val="Calibri"/>
        <family val="2"/>
      </rPr>
      <t>島根県出雲市斐川町中洲778</t>
    </r>
  </si>
  <si>
    <r>
      <rPr>
        <sz val="11"/>
        <color rgb="FF000000"/>
        <rFont val="Calibri"/>
        <family val="2"/>
      </rPr>
      <t>島根県出雲市斐川町中洲929</t>
    </r>
  </si>
  <si>
    <r>
      <rPr>
        <sz val="11"/>
        <color rgb="FF000000"/>
        <rFont val="Calibri"/>
        <family val="2"/>
      </rPr>
      <t>島根県出雲市斐川町中洲930</t>
    </r>
  </si>
  <si>
    <r>
      <rPr>
        <sz val="11"/>
        <color rgb="FF000000"/>
        <rFont val="Calibri"/>
        <family val="2"/>
      </rPr>
      <t>島根県出雲市斐川町中洲942</t>
    </r>
  </si>
  <si>
    <r>
      <rPr>
        <sz val="11"/>
        <color rgb="FF000000"/>
        <rFont val="Calibri"/>
        <family val="2"/>
      </rPr>
      <t>島根県出雲市斐川町中洲943</t>
    </r>
  </si>
  <si>
    <r>
      <rPr>
        <sz val="11"/>
        <color rgb="FF000000"/>
        <rFont val="Calibri"/>
        <family val="2"/>
      </rPr>
      <t>島根県出雲市斐川町中洲979</t>
    </r>
  </si>
  <si>
    <r>
      <rPr>
        <sz val="11"/>
        <color rgb="FF000000"/>
        <rFont val="Calibri"/>
        <family val="2"/>
      </rPr>
      <t>島根県出雲市斐川町中洲985</t>
    </r>
  </si>
  <si>
    <r>
      <rPr>
        <sz val="11"/>
        <color rgb="FF000000"/>
        <rFont val="Calibri"/>
        <family val="2"/>
      </rPr>
      <t>島根県出雲市斐川町中洲988</t>
    </r>
  </si>
  <si>
    <r>
      <rPr>
        <sz val="11"/>
        <color rgb="FF000000"/>
        <rFont val="Calibri"/>
        <family val="2"/>
      </rPr>
      <t>島根県出雲市斐川町黒目400</t>
    </r>
  </si>
  <si>
    <r>
      <rPr>
        <sz val="11"/>
        <color rgb="FF000000"/>
        <rFont val="Calibri"/>
        <family val="2"/>
      </rPr>
      <t>島根県出雲市斐川町黒目407</t>
    </r>
  </si>
  <si>
    <r>
      <rPr>
        <sz val="11"/>
        <color rgb="FF000000"/>
        <rFont val="Calibri"/>
        <family val="2"/>
      </rPr>
      <t>島根県出雲市斐川町三分市1834</t>
    </r>
  </si>
  <si>
    <r>
      <rPr>
        <sz val="11"/>
        <color rgb="FF000000"/>
        <rFont val="Calibri"/>
        <family val="2"/>
      </rPr>
      <t>島根県出雲市斐川町三分市1836</t>
    </r>
  </si>
  <si>
    <r>
      <rPr>
        <sz val="11"/>
        <color rgb="FF000000"/>
        <rFont val="Calibri"/>
        <family val="2"/>
      </rPr>
      <t>島根県出雲市斐川町三分市1837</t>
    </r>
  </si>
  <si>
    <r>
      <rPr>
        <sz val="11"/>
        <color rgb="FF000000"/>
        <rFont val="Calibri"/>
        <family val="2"/>
      </rPr>
      <t>島根県出雲市斐川町三分市1838</t>
    </r>
  </si>
  <si>
    <r>
      <rPr>
        <sz val="11"/>
        <color rgb="FF000000"/>
        <rFont val="Calibri"/>
        <family val="2"/>
      </rPr>
      <t>島根県出雲市斐川町坂田747</t>
    </r>
  </si>
  <si>
    <r>
      <rPr>
        <sz val="11"/>
        <color rgb="FF000000"/>
        <rFont val="Calibri"/>
        <family val="2"/>
      </rPr>
      <t>島根県出雲市斐川町坂田760</t>
    </r>
  </si>
  <si>
    <r>
      <rPr>
        <sz val="11"/>
        <color rgb="FF000000"/>
        <rFont val="Calibri"/>
        <family val="2"/>
      </rPr>
      <t>島根県出雲市斐川町坂田761</t>
    </r>
  </si>
  <si>
    <r>
      <rPr>
        <sz val="11"/>
        <color rgb="FF000000"/>
        <rFont val="Calibri"/>
        <family val="2"/>
      </rPr>
      <t>島根県出雲市斐川町坂田762</t>
    </r>
  </si>
  <si>
    <r>
      <rPr>
        <sz val="11"/>
        <color rgb="FF000000"/>
        <rFont val="Calibri"/>
        <family val="2"/>
      </rPr>
      <t>島根県出雲市斐川町坂田768</t>
    </r>
  </si>
  <si>
    <r>
      <rPr>
        <sz val="11"/>
        <color rgb="FF000000"/>
        <rFont val="Calibri"/>
        <family val="2"/>
      </rPr>
      <t>島根県出雲市斐川町坂田782-1</t>
    </r>
  </si>
  <si>
    <r>
      <rPr>
        <sz val="11"/>
        <color rgb="FF000000"/>
        <rFont val="Calibri"/>
        <family val="2"/>
      </rPr>
      <t>島根県出雲市斐川町坂田782-2</t>
    </r>
  </si>
  <si>
    <r>
      <rPr>
        <sz val="11"/>
        <color rgb="FF000000"/>
        <rFont val="Calibri"/>
        <family val="2"/>
      </rPr>
      <t>島根県出雲市斐川町坂田783-1</t>
    </r>
  </si>
  <si>
    <r>
      <rPr>
        <sz val="11"/>
        <color rgb="FF000000"/>
        <rFont val="Calibri"/>
        <family val="2"/>
      </rPr>
      <t>島根県出雲市斐川町坂田784</t>
    </r>
  </si>
  <si>
    <r>
      <rPr>
        <sz val="11"/>
        <color rgb="FF000000"/>
        <rFont val="Calibri"/>
        <family val="2"/>
      </rPr>
      <t>島根県出雲市斐川町坂田785</t>
    </r>
  </si>
  <si>
    <r>
      <rPr>
        <sz val="11"/>
        <color rgb="FF000000"/>
        <rFont val="Calibri"/>
        <family val="2"/>
      </rPr>
      <t>島根県出雲市斐川町坂田788</t>
    </r>
  </si>
  <si>
    <r>
      <rPr>
        <sz val="11"/>
        <color rgb="FF000000"/>
        <rFont val="Calibri"/>
        <family val="2"/>
      </rPr>
      <t>島根県出雲市斐川町上庄原2027-1</t>
    </r>
  </si>
  <si>
    <r>
      <rPr>
        <sz val="11"/>
        <color rgb="FF000000"/>
        <rFont val="Calibri"/>
        <family val="2"/>
      </rPr>
      <t>島根県出雲市斐川町上庄原2028</t>
    </r>
  </si>
  <si>
    <r>
      <rPr>
        <sz val="11"/>
        <color rgb="FF000000"/>
        <rFont val="Calibri"/>
        <family val="2"/>
      </rPr>
      <t>島根県出雲市斐川町美南965</t>
    </r>
  </si>
  <si>
    <r>
      <rPr>
        <sz val="11"/>
        <color rgb="FF000000"/>
        <rFont val="Calibri"/>
        <family val="2"/>
      </rPr>
      <t>島根県出雲市斐川町美南967</t>
    </r>
  </si>
  <si>
    <r>
      <rPr>
        <sz val="11"/>
        <color rgb="FF000000"/>
        <rFont val="Calibri"/>
        <family val="2"/>
      </rPr>
      <t>島根県出雲市斐川町美南969</t>
    </r>
  </si>
  <si>
    <r>
      <rPr>
        <sz val="11"/>
        <color rgb="FF000000"/>
        <rFont val="Calibri"/>
        <family val="2"/>
      </rPr>
      <t>島根県出雲市斐川町美南972</t>
    </r>
  </si>
  <si>
    <r>
      <rPr>
        <sz val="11"/>
        <color rgb="FF000000"/>
        <rFont val="Calibri"/>
        <family val="2"/>
      </rPr>
      <t>島根県出雲市斐川町美南1873</t>
    </r>
  </si>
  <si>
    <r>
      <rPr>
        <sz val="11"/>
        <color rgb="FF000000"/>
        <rFont val="Calibri"/>
        <family val="2"/>
      </rPr>
      <t>島根県出雲市斐川町美南1875</t>
    </r>
  </si>
  <si>
    <r>
      <rPr>
        <sz val="11"/>
        <color rgb="FF000000"/>
        <rFont val="Calibri"/>
        <family val="2"/>
      </rPr>
      <t>島根県出雲市斐川町美南1877</t>
    </r>
  </si>
  <si>
    <r>
      <rPr>
        <sz val="11"/>
        <color rgb="FF000000"/>
        <rFont val="Calibri"/>
        <family val="2"/>
      </rPr>
      <t>島根県出雲市斐川町美南1878</t>
    </r>
  </si>
  <si>
    <r>
      <rPr>
        <sz val="11"/>
        <color rgb="FF000000"/>
        <rFont val="Calibri"/>
        <family val="2"/>
      </rPr>
      <t>島根県出雲市斐川町美南1882</t>
    </r>
  </si>
  <si>
    <r>
      <rPr>
        <sz val="11"/>
        <color rgb="FF000000"/>
        <rFont val="Calibri"/>
        <family val="2"/>
      </rPr>
      <t>島根県出雲市斐川町美南1883</t>
    </r>
  </si>
  <si>
    <r>
      <rPr>
        <sz val="11"/>
        <color rgb="FF000000"/>
        <rFont val="Calibri"/>
        <family val="2"/>
      </rPr>
      <t>島根県出雲市斐川町美南1887</t>
    </r>
  </si>
  <si>
    <r>
      <rPr>
        <sz val="11"/>
        <color rgb="FF000000"/>
        <rFont val="Calibri"/>
        <family val="2"/>
      </rPr>
      <t>島根県出雲市斐川町美南1888-1</t>
    </r>
  </si>
  <si>
    <r>
      <rPr>
        <sz val="11"/>
        <color rgb="FF000000"/>
        <rFont val="Calibri"/>
        <family val="2"/>
      </rPr>
      <t>島根県出雲市斐川町美南1889-1</t>
    </r>
  </si>
  <si>
    <r>
      <rPr>
        <sz val="11"/>
        <color rgb="FF000000"/>
        <rFont val="Calibri"/>
        <family val="2"/>
      </rPr>
      <t>島根県出雲市斐川町美南1891-1</t>
    </r>
  </si>
  <si>
    <r>
      <rPr>
        <sz val="11"/>
        <color rgb="FF000000"/>
        <rFont val="Calibri"/>
        <family val="2"/>
      </rPr>
      <t>島根県出雲市斐川町美南1900-1</t>
    </r>
  </si>
  <si>
    <r>
      <rPr>
        <sz val="11"/>
        <color rgb="FF000000"/>
        <rFont val="Calibri"/>
        <family val="2"/>
      </rPr>
      <t>島根県出雲市斐川町美南1905-1</t>
    </r>
  </si>
  <si>
    <r>
      <rPr>
        <sz val="11"/>
        <color rgb="FF000000"/>
        <rFont val="Calibri"/>
        <family val="2"/>
      </rPr>
      <t>島根県出雲市斐川町沖洲2</t>
    </r>
  </si>
  <si>
    <r>
      <rPr>
        <sz val="11"/>
        <color rgb="FF000000"/>
        <rFont val="Calibri"/>
        <family val="2"/>
      </rPr>
      <t>島根県出雲市斐川町沖洲5-1</t>
    </r>
  </si>
  <si>
    <r>
      <rPr>
        <sz val="11"/>
        <color rgb="FF000000"/>
        <rFont val="Calibri"/>
        <family val="2"/>
      </rPr>
      <t>島根県出雲市斐川町沖洲20</t>
    </r>
  </si>
  <si>
    <r>
      <rPr>
        <sz val="11"/>
        <color rgb="FF000000"/>
        <rFont val="Calibri"/>
        <family val="2"/>
      </rPr>
      <t>島根県出雲市斐川町沖洲178</t>
    </r>
  </si>
  <si>
    <r>
      <rPr>
        <sz val="11"/>
        <color rgb="FF000000"/>
        <rFont val="Calibri"/>
        <family val="2"/>
      </rPr>
      <t>島根県出雲市斐川町名島397-5</t>
    </r>
  </si>
  <si>
    <r>
      <rPr>
        <sz val="11"/>
        <color rgb="FF000000"/>
        <rFont val="ＭＳ Ｐゴシック"/>
        <family val="2"/>
        <charset val="128"/>
      </rPr>
      <t>運賃</t>
    </r>
    <rPh sb="0" eb="1">
      <t>ウンチン</t>
    </rPh>
    <phoneticPr fontId="2"/>
  </si>
  <si>
    <r>
      <rPr>
        <sz val="11"/>
        <color rgb="FF000000"/>
        <rFont val="Calibri"/>
        <family val="2"/>
      </rPr>
      <t>島根県出雲市斐川町名島572-5</t>
    </r>
  </si>
  <si>
    <r>
      <t>9/5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Calibri"/>
        <family val="2"/>
      </rPr>
      <t>120</t>
    </r>
    <r>
      <rPr>
        <sz val="11"/>
        <color rgb="FF000000"/>
        <rFont val="ＭＳ Ｐゴシック"/>
        <family val="2"/>
        <charset val="128"/>
      </rPr>
      <t>本）</t>
    </r>
    <rPh sb="6" eb="7">
      <t>ホン</t>
    </rPh>
    <phoneticPr fontId="2"/>
  </si>
  <si>
    <r>
      <t>9/6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25</t>
    </r>
    <r>
      <rPr>
        <sz val="11"/>
        <color rgb="FF000000"/>
        <rFont val="ＭＳ Ｐゴシック"/>
        <family val="2"/>
        <charset val="128"/>
      </rPr>
      <t>本）</t>
    </r>
    <rPh sb="3" eb="4">
      <t>ノコ</t>
    </rPh>
    <phoneticPr fontId="2"/>
  </si>
  <si>
    <r>
      <rPr>
        <sz val="11"/>
        <color rgb="FF000000"/>
        <rFont val="Calibri"/>
        <family val="2"/>
      </rPr>
      <t>島根県出雲市斐川町名島610-2</t>
    </r>
  </si>
  <si>
    <r>
      <rPr>
        <sz val="11"/>
        <color rgb="FF000000"/>
        <rFont val="Calibri"/>
        <family val="2"/>
      </rPr>
      <t>島根県出雲市斐川町名島611-15</t>
    </r>
  </si>
  <si>
    <r>
      <rPr>
        <sz val="11"/>
        <color rgb="FF000000"/>
        <rFont val="Calibri"/>
        <family val="2"/>
      </rPr>
      <t>島根県出雲市斐川町名島645-5</t>
    </r>
  </si>
  <si>
    <r>
      <t>9/6</t>
    </r>
    <r>
      <rPr>
        <sz val="11"/>
        <color rgb="FF000000"/>
        <rFont val="游ゴシック"/>
        <family val="2"/>
        <charset val="128"/>
      </rPr>
      <t>（</t>
    </r>
    <r>
      <rPr>
        <sz val="11"/>
        <color rgb="FF000000"/>
        <rFont val="Calibri"/>
        <family val="2"/>
      </rPr>
      <t>36</t>
    </r>
    <r>
      <rPr>
        <sz val="11"/>
        <color rgb="FF000000"/>
        <rFont val="ＭＳ Ｐゴシック"/>
        <family val="2"/>
        <charset val="128"/>
      </rPr>
      <t>本）</t>
    </r>
    <phoneticPr fontId="2"/>
  </si>
  <si>
    <r>
      <t>9/8</t>
    </r>
    <r>
      <rPr>
        <sz val="11"/>
        <color rgb="FF000000"/>
        <rFont val="ＭＳ Ｐゴシック"/>
        <family val="2"/>
        <charset val="128"/>
      </rPr>
      <t>（残り</t>
    </r>
    <r>
      <rPr>
        <sz val="11"/>
        <color rgb="FF000000"/>
        <rFont val="Calibri"/>
        <family val="2"/>
      </rPr>
      <t>136</t>
    </r>
    <r>
      <rPr>
        <sz val="11"/>
        <color rgb="FF000000"/>
        <rFont val="ＭＳ Ｐゴシック"/>
        <family val="2"/>
        <charset val="128"/>
      </rPr>
      <t>本）</t>
    </r>
    <rPh sb="3" eb="4">
      <t>ノコ</t>
    </rPh>
    <rPh sb="8" eb="9">
      <t>ホン</t>
    </rPh>
    <phoneticPr fontId="2"/>
  </si>
  <si>
    <t>きぬむすめ</t>
    <phoneticPr fontId="2"/>
  </si>
  <si>
    <t>たちすずか</t>
    <phoneticPr fontId="2"/>
  </si>
  <si>
    <t>つきはやか</t>
    <phoneticPr fontId="2"/>
  </si>
  <si>
    <t>栽培方法</t>
    <rPh sb="0" eb="4">
      <t>サイバイホウホウ</t>
    </rPh>
    <phoneticPr fontId="2"/>
  </si>
  <si>
    <t>移植</t>
    <rPh sb="0" eb="2">
      <t>イショク</t>
    </rPh>
    <phoneticPr fontId="2"/>
  </si>
  <si>
    <t>直播（湛水）</t>
    <rPh sb="0" eb="2">
      <t>ジカマキ</t>
    </rPh>
    <rPh sb="3" eb="5">
      <t>タンスイ</t>
    </rPh>
    <phoneticPr fontId="2"/>
  </si>
  <si>
    <t>直播（乾田）</t>
    <rPh sb="0" eb="1">
      <t>ジカ</t>
    </rPh>
    <rPh sb="1" eb="2">
      <t>マ</t>
    </rPh>
    <rPh sb="3" eb="5">
      <t>カンデン</t>
    </rPh>
    <phoneticPr fontId="2"/>
  </si>
  <si>
    <t>直播（乾田）</t>
    <rPh sb="0" eb="2">
      <t>ジカマキ</t>
    </rPh>
    <rPh sb="3" eb="5">
      <t>カンデン</t>
    </rPh>
    <phoneticPr fontId="2"/>
  </si>
  <si>
    <t>収量ｋｇ</t>
    <rPh sb="0" eb="2">
      <t>シュウリョウ</t>
    </rPh>
    <phoneticPr fontId="2"/>
  </si>
  <si>
    <t>単収ｋｇ</t>
    <rPh sb="0" eb="2">
      <t>タンシュウ</t>
    </rPh>
    <phoneticPr fontId="2"/>
  </si>
  <si>
    <r>
      <rPr>
        <sz val="11"/>
        <color rgb="FF000000"/>
        <rFont val="ＭＳ ゴシック"/>
        <family val="3"/>
        <charset val="128"/>
      </rPr>
      <t>小ﾛｰﾙ</t>
    </r>
    <r>
      <rPr>
        <sz val="11"/>
        <color rgb="FF000000"/>
        <rFont val="Calibri"/>
        <family val="2"/>
      </rPr>
      <t>200kg</t>
    </r>
    <phoneticPr fontId="2"/>
  </si>
  <si>
    <r>
      <rPr>
        <sz val="11"/>
        <color rgb="FF000000"/>
        <rFont val="ＭＳ ゴシック"/>
        <family val="3"/>
        <charset val="128"/>
      </rPr>
      <t>中ﾛｰﾙ250</t>
    </r>
    <r>
      <rPr>
        <sz val="11"/>
        <color rgb="FF000000"/>
        <rFont val="Calibri"/>
        <family val="3"/>
      </rPr>
      <t>kg</t>
    </r>
    <phoneticPr fontId="2"/>
  </si>
  <si>
    <r>
      <rPr>
        <sz val="11"/>
        <color rgb="FF000000"/>
        <rFont val="ＭＳ ゴシック"/>
        <family val="3"/>
        <charset val="128"/>
      </rPr>
      <t>微ﾛｰﾙ</t>
    </r>
    <r>
      <rPr>
        <sz val="11"/>
        <color rgb="FF000000"/>
        <rFont val="Calibri"/>
        <family val="2"/>
      </rPr>
      <t>300kg</t>
    </r>
    <phoneticPr fontId="2"/>
  </si>
  <si>
    <t>原進</t>
  </si>
  <si>
    <t>（株）米らいふ</t>
  </si>
  <si>
    <t>どてまち営農組合</t>
  </si>
  <si>
    <r>
      <rPr>
        <sz val="11"/>
        <color rgb="FF000000"/>
        <rFont val="游ゴシック"/>
        <family val="2"/>
        <charset val="128"/>
      </rPr>
      <t>（株）</t>
    </r>
    <r>
      <rPr>
        <sz val="11"/>
        <color rgb="FF000000"/>
        <rFont val="ＭＳ ゴシック"/>
        <family val="3"/>
        <charset val="128"/>
      </rPr>
      <t>錦織農園</t>
    </r>
    <rPh sb="1" eb="2">
      <t>カブ</t>
    </rPh>
    <phoneticPr fontId="2"/>
  </si>
  <si>
    <r>
      <rPr>
        <sz val="11"/>
        <color rgb="FF000000"/>
        <rFont val="游ゴシック"/>
        <family val="2"/>
        <charset val="128"/>
      </rPr>
      <t>（株）</t>
    </r>
    <r>
      <rPr>
        <sz val="11"/>
        <color rgb="FF000000"/>
        <rFont val="ＭＳ ゴシック"/>
        <family val="3"/>
        <charset val="128"/>
      </rPr>
      <t>あかつきファーム今在家</t>
    </r>
    <rPh sb="1" eb="2">
      <t>カブ</t>
    </rPh>
    <phoneticPr fontId="2"/>
  </si>
  <si>
    <r>
      <rPr>
        <sz val="11"/>
        <color rgb="FF000000"/>
        <rFont val="游ゴシック"/>
        <family val="2"/>
        <charset val="128"/>
      </rPr>
      <t>（農）</t>
    </r>
    <r>
      <rPr>
        <sz val="11"/>
        <color rgb="FF000000"/>
        <rFont val="ＭＳ ゴシック"/>
        <family val="3"/>
        <charset val="128"/>
      </rPr>
      <t>あっとふぁーむ黒目</t>
    </r>
    <rPh sb="1" eb="2">
      <t>ノウ</t>
    </rPh>
    <phoneticPr fontId="2"/>
  </si>
  <si>
    <r>
      <rPr>
        <sz val="11"/>
        <color rgb="FF000000"/>
        <rFont val="游ゴシック"/>
        <family val="2"/>
        <charset val="128"/>
      </rPr>
      <t>（農）</t>
    </r>
    <r>
      <rPr>
        <sz val="11"/>
        <color rgb="FF000000"/>
        <rFont val="ＭＳ ゴシック"/>
        <family val="3"/>
        <charset val="128"/>
      </rPr>
      <t>おきす</t>
    </r>
    <rPh sb="1" eb="2">
      <t>ノウ</t>
    </rPh>
    <phoneticPr fontId="2"/>
  </si>
  <si>
    <r>
      <rPr>
        <sz val="11"/>
        <color rgb="FF000000"/>
        <rFont val="游ゴシック"/>
        <family val="2"/>
        <charset val="128"/>
      </rPr>
      <t>（有）</t>
    </r>
    <r>
      <rPr>
        <sz val="11"/>
        <color rgb="FF000000"/>
        <rFont val="ＭＳ ゴシック"/>
        <family val="3"/>
        <charset val="128"/>
      </rPr>
      <t>グリーンサポート斐川</t>
    </r>
    <rPh sb="1" eb="2">
      <t>ユウ</t>
    </rPh>
    <phoneticPr fontId="2"/>
  </si>
  <si>
    <r>
      <rPr>
        <sz val="11"/>
        <color rgb="FF000000"/>
        <rFont val="游ゴシック"/>
        <family val="2"/>
        <charset val="128"/>
      </rPr>
      <t>（農）</t>
    </r>
    <r>
      <rPr>
        <sz val="11"/>
        <color rgb="FF000000"/>
        <rFont val="ＭＳ ゴシック"/>
        <family val="3"/>
        <charset val="128"/>
      </rPr>
      <t>じきょう</t>
    </r>
    <rPh sb="1" eb="2">
      <t>ノウ</t>
    </rPh>
    <phoneticPr fontId="2"/>
  </si>
  <si>
    <r>
      <rPr>
        <sz val="11"/>
        <color rgb="FF000000"/>
        <rFont val="游ゴシック"/>
        <family val="2"/>
        <charset val="128"/>
      </rPr>
      <t>（農）</t>
    </r>
    <r>
      <rPr>
        <sz val="11"/>
        <color rgb="FF000000"/>
        <rFont val="ＭＳ ゴシック"/>
        <family val="3"/>
        <charset val="128"/>
      </rPr>
      <t>相場ファーム</t>
    </r>
    <rPh sb="1" eb="2">
      <t>ノウ</t>
    </rPh>
    <phoneticPr fontId="2"/>
  </si>
  <si>
    <r>
      <rPr>
        <sz val="11"/>
        <color rgb="FF000000"/>
        <rFont val="游ゴシック"/>
        <family val="2"/>
        <charset val="128"/>
      </rPr>
      <t>（農）</t>
    </r>
    <r>
      <rPr>
        <sz val="11"/>
        <color rgb="FF000000"/>
        <rFont val="ＭＳ ゴシック"/>
        <family val="3"/>
        <charset val="128"/>
      </rPr>
      <t>碇下ファーム</t>
    </r>
    <rPh sb="1" eb="2">
      <t>ノウ</t>
    </rPh>
    <phoneticPr fontId="2"/>
  </si>
  <si>
    <r>
      <rPr>
        <sz val="11"/>
        <color rgb="FF000000"/>
        <rFont val="游ゴシック"/>
        <family val="2"/>
        <charset val="128"/>
      </rPr>
      <t>（農）</t>
    </r>
    <r>
      <rPr>
        <sz val="11"/>
        <color rgb="FF000000"/>
        <rFont val="ＭＳ ゴシック"/>
        <family val="3"/>
        <charset val="128"/>
      </rPr>
      <t>土手町上ファーム</t>
    </r>
    <rPh sb="1" eb="2">
      <t>ノウ</t>
    </rPh>
    <phoneticPr fontId="2"/>
  </si>
  <si>
    <r>
      <rPr>
        <sz val="11"/>
        <color rgb="FF000000"/>
        <rFont val="游ゴシック"/>
        <family val="2"/>
        <charset val="128"/>
      </rPr>
      <t>（農）</t>
    </r>
    <r>
      <rPr>
        <sz val="11"/>
        <color rgb="FF000000"/>
        <rFont val="ＭＳ ゴシック"/>
        <family val="3"/>
        <charset val="128"/>
      </rPr>
      <t>別名ファーム</t>
    </r>
    <rPh sb="1" eb="2">
      <t>ノウ</t>
    </rPh>
    <phoneticPr fontId="2"/>
  </si>
  <si>
    <t>経営体名　　</t>
    <rPh sb="0" eb="4">
      <t>ケイエイタイメイ</t>
    </rPh>
    <phoneticPr fontId="1"/>
  </si>
  <si>
    <t>栽培品種</t>
    <rPh sb="0" eb="4">
      <t>サイバイヒンシュ</t>
    </rPh>
    <phoneticPr fontId="1"/>
  </si>
  <si>
    <t>ヒメノモチ</t>
  </si>
  <si>
    <t>（農）土手町上ファーム</t>
    <rPh sb="1" eb="2">
      <t>ノウ</t>
    </rPh>
    <rPh sb="3" eb="6">
      <t>ドテマチ</t>
    </rPh>
    <rPh sb="6" eb="7">
      <t>カミ</t>
    </rPh>
    <phoneticPr fontId="1"/>
  </si>
  <si>
    <t>（有）グリーンサポート斐川</t>
    <rPh sb="1" eb="2">
      <t>ユウ</t>
    </rPh>
    <rPh sb="11" eb="13">
      <t>ヒカワ</t>
    </rPh>
    <phoneticPr fontId="1"/>
  </si>
  <si>
    <t>（株）錦織農園</t>
    <rPh sb="1" eb="2">
      <t>カブ</t>
    </rPh>
    <rPh sb="3" eb="5">
      <t>ニシキオリ</t>
    </rPh>
    <rPh sb="5" eb="7">
      <t>ノウエン</t>
    </rPh>
    <phoneticPr fontId="1"/>
  </si>
  <si>
    <t>（株）米らいふ</t>
    <rPh sb="1" eb="2">
      <t>カブ</t>
    </rPh>
    <rPh sb="3" eb="4">
      <t>コメ</t>
    </rPh>
    <phoneticPr fontId="1"/>
  </si>
  <si>
    <t>つきはやか</t>
  </si>
  <si>
    <t>（農）別名ファーム</t>
    <rPh sb="1" eb="2">
      <t>ノウ</t>
    </rPh>
    <rPh sb="3" eb="5">
      <t>ベツミョウ</t>
    </rPh>
    <phoneticPr fontId="1"/>
  </si>
  <si>
    <t>きぬむすめ</t>
  </si>
  <si>
    <t>（農）あっとふぁーむ黒目</t>
    <rPh sb="1" eb="2">
      <t>ノウ</t>
    </rPh>
    <rPh sb="10" eb="12">
      <t>クロメ</t>
    </rPh>
    <phoneticPr fontId="1"/>
  </si>
  <si>
    <t>（農）相場ファーム</t>
    <rPh sb="1" eb="2">
      <t>ノウ</t>
    </rPh>
    <rPh sb="3" eb="5">
      <t>アイバ</t>
    </rPh>
    <phoneticPr fontId="1"/>
  </si>
  <si>
    <t>たちすずか</t>
  </si>
  <si>
    <t>どてまち営農組合</t>
    <rPh sb="4" eb="8">
      <t>エイノウクミアイ</t>
    </rPh>
    <phoneticPr fontId="1"/>
  </si>
  <si>
    <t>（農）じきょう</t>
    <rPh sb="1" eb="2">
      <t>ノウ</t>
    </rPh>
    <phoneticPr fontId="1"/>
  </si>
  <si>
    <t>（農）おきす</t>
    <rPh sb="1" eb="2">
      <t>ノウ</t>
    </rPh>
    <phoneticPr fontId="1"/>
  </si>
  <si>
    <t>（農）碇下ファーム</t>
    <rPh sb="1" eb="2">
      <t>ノウ</t>
    </rPh>
    <rPh sb="3" eb="4">
      <t>イカリ</t>
    </rPh>
    <rPh sb="4" eb="5">
      <t>シモ</t>
    </rPh>
    <phoneticPr fontId="1"/>
  </si>
  <si>
    <t>栽培方法</t>
    <rPh sb="0" eb="2">
      <t>サイバイ</t>
    </rPh>
    <rPh sb="2" eb="4">
      <t>ホウホウ</t>
    </rPh>
    <phoneticPr fontId="2"/>
  </si>
  <si>
    <t>移植</t>
    <rPh sb="0" eb="2">
      <t>イショク</t>
    </rPh>
    <phoneticPr fontId="1"/>
  </si>
  <si>
    <t>直播（乾田）</t>
    <rPh sb="0" eb="2">
      <t>ジカマキ</t>
    </rPh>
    <rPh sb="3" eb="5">
      <t>カンデン</t>
    </rPh>
    <phoneticPr fontId="1"/>
  </si>
  <si>
    <t>直播（湛水）</t>
    <rPh sb="0" eb="2">
      <t>ジカマキ</t>
    </rPh>
    <rPh sb="3" eb="5">
      <t>タンスイ</t>
    </rPh>
    <phoneticPr fontId="1"/>
  </si>
  <si>
    <t>原進</t>
    <rPh sb="0" eb="1">
      <t>ハラ</t>
    </rPh>
    <rPh sb="1" eb="2">
      <t>ススム</t>
    </rPh>
    <phoneticPr fontId="1"/>
  </si>
  <si>
    <r>
      <rPr>
        <sz val="11"/>
        <color rgb="FF000000"/>
        <rFont val="ＭＳ Ｐゴシック"/>
        <family val="3"/>
        <charset val="128"/>
      </rPr>
      <t>（株）あかつきファーム今在家</t>
    </r>
    <rPh sb="1" eb="2">
      <t>カブ</t>
    </rPh>
    <rPh sb="11" eb="12">
      <t>イマ</t>
    </rPh>
    <rPh sb="12" eb="13">
      <t>ザイ</t>
    </rPh>
    <rPh sb="13" eb="14">
      <t>イエ</t>
    </rPh>
    <phoneticPr fontId="1"/>
  </si>
  <si>
    <t>収量kg</t>
    <rPh sb="0" eb="2">
      <t>シュウリョウ</t>
    </rPh>
    <phoneticPr fontId="2"/>
  </si>
  <si>
    <t>単収kg</t>
    <rPh sb="0" eb="2">
      <t>タンシュウ</t>
    </rPh>
    <phoneticPr fontId="2"/>
  </si>
  <si>
    <t>栽培面積a</t>
    <phoneticPr fontId="2"/>
  </si>
  <si>
    <t>栽培品種</t>
    <rPh sb="0" eb="4">
      <t>サイバイヒンシュ</t>
    </rPh>
    <phoneticPr fontId="2"/>
  </si>
  <si>
    <t>直播（湛水）</t>
    <phoneticPr fontId="1"/>
  </si>
  <si>
    <t>連番</t>
    <rPh sb="0" eb="2">
      <t>レンバン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</si>
</sst>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6"/>
      <name val="ＭＳ Ｐゴシック"/>
      <family val="3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</font>
    <font>
      <sz val="11"/>
      <color rgb="FF000000"/>
      <name val="Calibri"/>
      <family val="2"/>
      <charset val="128"/>
    </font>
    <font>
      <sz val="11"/>
      <color rgb="FFFF0000"/>
      <name val="ＭＳ Ｐゴシック"/>
      <family val="2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Calibri"/>
      <family val="3"/>
      <charset val="128"/>
    </font>
    <font>
      <sz val="11"/>
      <color rgb="FF000000"/>
      <name val="Calibri"/>
      <family val="3"/>
    </font>
    <font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Border="0"/>
    <xf numFmtId="38" fontId="6" fillId="0" borderId="0" applyFont="0" applyFill="0" applyBorder="0" applyAlignment="0" applyProtection="0">
      <alignment vertical="center"/>
    </xf>
  </cellStyleXfs>
  <cellXfs count="23">
    <xf numFmtId="0" fontId="0" fillId="0" borderId="0" xfId="0"/>
    <xf numFmtId="0" fontId="3" fillId="0" borderId="0" xfId="0" applyFont="1"/>
    <xf numFmtId="49" fontId="0" fillId="0" borderId="0" xfId="0" quotePrefix="1" applyNumberFormat="1" applyFont="1"/>
    <xf numFmtId="0" fontId="0" fillId="2" borderId="0" xfId="0" quotePrefix="1" applyFont="1" applyFill="1"/>
    <xf numFmtId="0" fontId="0" fillId="2" borderId="0" xfId="0" applyFont="1" applyFill="1"/>
    <xf numFmtId="0" fontId="0" fillId="0" borderId="0" xfId="0" applyFont="1"/>
    <xf numFmtId="0" fontId="0" fillId="0" borderId="0" xfId="0" quotePrefix="1" applyFont="1"/>
    <xf numFmtId="49" fontId="0" fillId="0" borderId="0" xfId="0" quotePrefix="1" applyNumberFormat="1" applyFont="1" applyAlignment="1">
      <alignment horizontal="right"/>
    </xf>
    <xf numFmtId="56" fontId="0" fillId="0" borderId="0" xfId="0" quotePrefix="1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38" fontId="0" fillId="0" borderId="0" xfId="1" applyFont="1" applyAlignment="1"/>
    <xf numFmtId="0" fontId="4" fillId="0" borderId="0" xfId="0" applyFont="1"/>
    <xf numFmtId="49" fontId="0" fillId="0" borderId="0" xfId="0" applyNumberFormat="1" applyAlignment="1">
      <alignment horizontal="right"/>
    </xf>
    <xf numFmtId="0" fontId="11" fillId="0" borderId="0" xfId="0" quotePrefix="1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right"/>
    </xf>
    <xf numFmtId="0" fontId="0" fillId="0" borderId="1" xfId="0" applyBorder="1"/>
    <xf numFmtId="0" fontId="4" fillId="0" borderId="1" xfId="0" applyFont="1" applyBorder="1"/>
    <xf numFmtId="38" fontId="0" fillId="0" borderId="1" xfId="1" applyFont="1" applyBorder="1" applyAlignment="1"/>
    <xf numFmtId="0" fontId="3" fillId="0" borderId="1" xfId="0" applyFont="1" applyBorder="1" applyAlignment="1">
      <alignment horizontal="righ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9"/>
  <sheetViews>
    <sheetView topLeftCell="B1" zoomScaleNormal="100" workbookViewId="0">
      <selection activeCell="B139" sqref="B139"/>
    </sheetView>
  </sheetViews>
  <sheetFormatPr defaultRowHeight="15" x14ac:dyDescent="0.25"/>
  <cols>
    <col min="1" max="1" width="9.140625" style="4" hidden="1" customWidth="1"/>
    <col min="2" max="2" width="25.85546875" style="5" customWidth="1"/>
    <col min="3" max="3" width="46.140625" style="5" bestFit="1" customWidth="1"/>
    <col min="4" max="4" width="8.5703125" style="5" bestFit="1" customWidth="1"/>
    <col min="5" max="6" width="10.42578125" style="5" customWidth="1"/>
    <col min="7" max="7" width="12.7109375" style="5" bestFit="1" customWidth="1"/>
    <col min="8" max="8" width="13.140625" style="5" bestFit="1" customWidth="1"/>
    <col min="9" max="9" width="12.7109375" style="5" bestFit="1" customWidth="1"/>
    <col min="10" max="10" width="9.85546875" style="5" customWidth="1"/>
    <col min="11" max="11" width="21.42578125" style="5" customWidth="1"/>
    <col min="12" max="12" width="5.7109375" style="5" customWidth="1"/>
    <col min="13" max="13" width="28.5703125" style="5" customWidth="1"/>
    <col min="14" max="14" width="9.85546875" style="5" customWidth="1"/>
    <col min="15" max="15" width="9.140625" style="5"/>
    <col min="16" max="16" width="12.5703125" style="5" bestFit="1" customWidth="1"/>
    <col min="17" max="17" width="12.85546875" style="5" bestFit="1" customWidth="1"/>
    <col min="18" max="16384" width="9.140625" style="5"/>
  </cols>
  <sheetData>
    <row r="1" spans="1:19" ht="20.25" customHeight="1" x14ac:dyDescent="0.25">
      <c r="A1" s="4" t="s">
        <v>0</v>
      </c>
      <c r="B1" s="5" t="s">
        <v>322</v>
      </c>
      <c r="C1" s="5" t="s">
        <v>323</v>
      </c>
      <c r="D1" s="5" t="s">
        <v>324</v>
      </c>
      <c r="E1" s="5" t="s">
        <v>325</v>
      </c>
      <c r="F1" s="5" t="s">
        <v>326</v>
      </c>
      <c r="G1" s="11" t="s">
        <v>633</v>
      </c>
      <c r="H1" s="11" t="s">
        <v>634</v>
      </c>
      <c r="I1" s="11" t="s">
        <v>635</v>
      </c>
      <c r="J1" s="5" t="s">
        <v>327</v>
      </c>
      <c r="K1" s="5" t="s">
        <v>328</v>
      </c>
      <c r="L1" s="5" t="s">
        <v>329</v>
      </c>
      <c r="M1" s="5" t="s">
        <v>330</v>
      </c>
      <c r="N1" s="5" t="s">
        <v>331</v>
      </c>
      <c r="P1" s="5" t="s">
        <v>332</v>
      </c>
      <c r="Q1" s="1" t="s">
        <v>626</v>
      </c>
      <c r="R1" s="1" t="s">
        <v>631</v>
      </c>
      <c r="S1" s="1" t="s">
        <v>632</v>
      </c>
    </row>
    <row r="2" spans="1:19" ht="20.25" customHeight="1" x14ac:dyDescent="0.4">
      <c r="A2" s="3" t="s">
        <v>119</v>
      </c>
      <c r="B2" s="6" t="s">
        <v>639</v>
      </c>
      <c r="C2" s="6" t="s">
        <v>333</v>
      </c>
      <c r="D2" s="7">
        <v>4503</v>
      </c>
      <c r="E2" s="2" t="s">
        <v>42</v>
      </c>
      <c r="F2" s="2" t="s">
        <v>69</v>
      </c>
      <c r="H2" s="6"/>
      <c r="I2" s="6">
        <v>44</v>
      </c>
      <c r="J2" s="6"/>
      <c r="K2" s="2"/>
      <c r="L2" s="6"/>
      <c r="M2" s="6"/>
      <c r="N2" s="6"/>
      <c r="P2" s="1" t="s">
        <v>624</v>
      </c>
      <c r="Q2" s="1" t="s">
        <v>629</v>
      </c>
      <c r="R2" s="5">
        <f>SUM(200*$G2+250*$H2+300*$I2)</f>
        <v>13200</v>
      </c>
      <c r="S2" s="12">
        <f>R2/D2*1000</f>
        <v>2931.3790806129246</v>
      </c>
    </row>
    <row r="3" spans="1:19" ht="18.75" x14ac:dyDescent="0.4">
      <c r="A3" s="3" t="s">
        <v>120</v>
      </c>
      <c r="B3" s="6" t="s">
        <v>639</v>
      </c>
      <c r="C3" s="6" t="s">
        <v>334</v>
      </c>
      <c r="D3" s="7">
        <v>6893</v>
      </c>
      <c r="E3" s="2" t="s">
        <v>42</v>
      </c>
      <c r="F3" s="2" t="s">
        <v>69</v>
      </c>
      <c r="G3" s="6"/>
      <c r="H3" s="6"/>
      <c r="I3" s="6">
        <v>55</v>
      </c>
      <c r="J3" s="6"/>
      <c r="K3" s="2"/>
      <c r="L3" s="6"/>
      <c r="M3" s="6"/>
      <c r="N3" s="6"/>
      <c r="P3" s="1" t="s">
        <v>624</v>
      </c>
      <c r="Q3" s="1" t="s">
        <v>629</v>
      </c>
      <c r="R3" s="5">
        <f t="shared" ref="R3:R66" si="0">SUM(200*$G3+250*$H3+300*$I3)</f>
        <v>16500</v>
      </c>
      <c r="S3" s="12">
        <f t="shared" ref="S3:S66" si="1">R3/D3*1000</f>
        <v>2393.7327723777744</v>
      </c>
    </row>
    <row r="4" spans="1:19" ht="18.75" x14ac:dyDescent="0.4">
      <c r="A4" s="3" t="s">
        <v>121</v>
      </c>
      <c r="B4" s="6" t="s">
        <v>639</v>
      </c>
      <c r="C4" s="6" t="s">
        <v>335</v>
      </c>
      <c r="D4" s="7">
        <v>12446</v>
      </c>
      <c r="E4" s="2" t="s">
        <v>43</v>
      </c>
      <c r="F4" s="2" t="s">
        <v>70</v>
      </c>
      <c r="G4" s="6"/>
      <c r="H4" s="6"/>
      <c r="I4" s="6">
        <v>117</v>
      </c>
      <c r="J4" s="6"/>
      <c r="K4" s="2"/>
      <c r="L4" s="6"/>
      <c r="M4" s="6"/>
      <c r="N4" s="6"/>
      <c r="P4" s="1" t="s">
        <v>624</v>
      </c>
      <c r="Q4" s="1" t="s">
        <v>629</v>
      </c>
      <c r="R4" s="5">
        <f t="shared" si="0"/>
        <v>35100</v>
      </c>
      <c r="S4" s="12">
        <f t="shared" si="1"/>
        <v>2820.1831913867909</v>
      </c>
    </row>
    <row r="5" spans="1:19" ht="18.75" x14ac:dyDescent="0.4">
      <c r="A5" s="3" t="s">
        <v>122</v>
      </c>
      <c r="B5" s="6" t="s">
        <v>639</v>
      </c>
      <c r="C5" s="6" t="s">
        <v>336</v>
      </c>
      <c r="D5" s="7">
        <v>9564</v>
      </c>
      <c r="E5" s="2" t="s">
        <v>43</v>
      </c>
      <c r="F5" s="2" t="s">
        <v>70</v>
      </c>
      <c r="G5" s="6"/>
      <c r="H5" s="6"/>
      <c r="I5" s="6">
        <v>96</v>
      </c>
      <c r="J5" s="6"/>
      <c r="K5" s="2"/>
      <c r="L5" s="6"/>
      <c r="M5" s="6"/>
      <c r="N5" s="6"/>
      <c r="P5" s="1" t="s">
        <v>624</v>
      </c>
      <c r="Q5" s="1" t="s">
        <v>629</v>
      </c>
      <c r="R5" s="5">
        <f t="shared" si="0"/>
        <v>28800</v>
      </c>
      <c r="S5" s="12">
        <f t="shared" si="1"/>
        <v>3011.2923462986196</v>
      </c>
    </row>
    <row r="6" spans="1:19" ht="18.75" x14ac:dyDescent="0.4">
      <c r="A6" s="3" t="s">
        <v>123</v>
      </c>
      <c r="B6" s="6" t="s">
        <v>639</v>
      </c>
      <c r="C6" s="6" t="s">
        <v>337</v>
      </c>
      <c r="D6" s="7">
        <v>3463</v>
      </c>
      <c r="E6" s="2" t="s">
        <v>47</v>
      </c>
      <c r="F6" s="2" t="s">
        <v>71</v>
      </c>
      <c r="G6" s="6"/>
      <c r="H6" s="6"/>
      <c r="I6" s="6">
        <v>30</v>
      </c>
      <c r="J6" s="6"/>
      <c r="K6" s="2"/>
      <c r="L6" s="6"/>
      <c r="M6" s="6"/>
      <c r="N6" s="6"/>
      <c r="P6" s="1" t="s">
        <v>624</v>
      </c>
      <c r="Q6" s="1" t="s">
        <v>629</v>
      </c>
      <c r="R6" s="5">
        <f t="shared" si="0"/>
        <v>9000</v>
      </c>
      <c r="S6" s="12">
        <f t="shared" si="1"/>
        <v>2598.9026855327752</v>
      </c>
    </row>
    <row r="7" spans="1:19" ht="18.75" x14ac:dyDescent="0.4">
      <c r="A7" s="3" t="s">
        <v>124</v>
      </c>
      <c r="B7" s="6" t="s">
        <v>639</v>
      </c>
      <c r="C7" s="6" t="s">
        <v>338</v>
      </c>
      <c r="D7" s="7">
        <v>2438</v>
      </c>
      <c r="E7" s="2" t="s">
        <v>47</v>
      </c>
      <c r="F7" s="2" t="s">
        <v>71</v>
      </c>
      <c r="G7" s="6"/>
      <c r="H7" s="6"/>
      <c r="I7" s="6">
        <v>25</v>
      </c>
      <c r="J7" s="6"/>
      <c r="K7" s="2"/>
      <c r="L7" s="6"/>
      <c r="M7" s="6"/>
      <c r="N7" s="6"/>
      <c r="P7" s="1" t="s">
        <v>624</v>
      </c>
      <c r="Q7" s="1" t="s">
        <v>629</v>
      </c>
      <c r="R7" s="5">
        <f t="shared" si="0"/>
        <v>7500</v>
      </c>
      <c r="S7" s="12">
        <f t="shared" si="1"/>
        <v>3076.2920426579162</v>
      </c>
    </row>
    <row r="8" spans="1:19" ht="18.75" x14ac:dyDescent="0.4">
      <c r="A8" s="3" t="s">
        <v>125</v>
      </c>
      <c r="B8" s="6" t="s">
        <v>639</v>
      </c>
      <c r="C8" s="6" t="s">
        <v>339</v>
      </c>
      <c r="D8" s="7">
        <v>4177</v>
      </c>
      <c r="E8" s="2" t="s">
        <v>47</v>
      </c>
      <c r="F8" s="2" t="s">
        <v>71</v>
      </c>
      <c r="G8" s="6"/>
      <c r="H8" s="6"/>
      <c r="I8" s="6">
        <v>40</v>
      </c>
      <c r="J8" s="6"/>
      <c r="K8" s="2"/>
      <c r="L8" s="6"/>
      <c r="M8" s="6"/>
      <c r="N8" s="6"/>
      <c r="P8" s="1" t="s">
        <v>624</v>
      </c>
      <c r="Q8" s="1" t="s">
        <v>629</v>
      </c>
      <c r="R8" s="5">
        <f t="shared" si="0"/>
        <v>12000</v>
      </c>
      <c r="S8" s="12">
        <f t="shared" si="1"/>
        <v>2872.8752693320562</v>
      </c>
    </row>
    <row r="9" spans="1:19" ht="18.75" x14ac:dyDescent="0.4">
      <c r="A9" s="3" t="s">
        <v>126</v>
      </c>
      <c r="B9" s="6" t="s">
        <v>639</v>
      </c>
      <c r="C9" s="6" t="s">
        <v>340</v>
      </c>
      <c r="D9" s="7">
        <v>2888</v>
      </c>
      <c r="E9" s="2" t="s">
        <v>43</v>
      </c>
      <c r="F9" s="2" t="s">
        <v>70</v>
      </c>
      <c r="G9" s="6">
        <v>26</v>
      </c>
      <c r="H9" s="6"/>
      <c r="I9" s="6"/>
      <c r="J9" s="6"/>
      <c r="K9" s="2"/>
      <c r="L9" s="6"/>
      <c r="M9" s="6"/>
      <c r="N9" s="6"/>
      <c r="P9" s="1" t="s">
        <v>624</v>
      </c>
      <c r="Q9" s="1" t="s">
        <v>629</v>
      </c>
      <c r="R9" s="5">
        <f t="shared" si="0"/>
        <v>5200</v>
      </c>
      <c r="S9" s="12">
        <f t="shared" si="1"/>
        <v>1800.5540166204985</v>
      </c>
    </row>
    <row r="10" spans="1:19" ht="18.75" x14ac:dyDescent="0.4">
      <c r="A10" s="3" t="s">
        <v>127</v>
      </c>
      <c r="B10" s="6" t="s">
        <v>639</v>
      </c>
      <c r="C10" s="6" t="s">
        <v>341</v>
      </c>
      <c r="D10" s="7">
        <v>2980</v>
      </c>
      <c r="E10" s="2" t="s">
        <v>51</v>
      </c>
      <c r="F10" s="2" t="s">
        <v>72</v>
      </c>
      <c r="G10" s="6">
        <v>33</v>
      </c>
      <c r="H10" s="6"/>
      <c r="I10" s="6"/>
      <c r="J10" s="6"/>
      <c r="K10" s="2"/>
      <c r="L10" s="6"/>
      <c r="M10" s="6"/>
      <c r="N10" s="6"/>
      <c r="P10" s="1" t="s">
        <v>624</v>
      </c>
      <c r="Q10" s="1" t="s">
        <v>629</v>
      </c>
      <c r="R10" s="5">
        <f t="shared" si="0"/>
        <v>6600</v>
      </c>
      <c r="S10" s="12">
        <f t="shared" si="1"/>
        <v>2214.7651006711412</v>
      </c>
    </row>
    <row r="11" spans="1:19" ht="18.75" x14ac:dyDescent="0.4">
      <c r="A11" s="3" t="s">
        <v>128</v>
      </c>
      <c r="B11" s="6" t="s">
        <v>639</v>
      </c>
      <c r="C11" s="6" t="s">
        <v>342</v>
      </c>
      <c r="D11" s="7">
        <v>3017</v>
      </c>
      <c r="E11" s="2" t="s">
        <v>51</v>
      </c>
      <c r="F11" s="2" t="s">
        <v>72</v>
      </c>
      <c r="G11" s="6">
        <v>36</v>
      </c>
      <c r="H11" s="6"/>
      <c r="I11" s="6"/>
      <c r="J11" s="6"/>
      <c r="K11" s="2"/>
      <c r="L11" s="6"/>
      <c r="M11" s="6"/>
      <c r="N11" s="6"/>
      <c r="P11" s="1" t="s">
        <v>624</v>
      </c>
      <c r="Q11" s="1" t="s">
        <v>629</v>
      </c>
      <c r="R11" s="5">
        <f t="shared" si="0"/>
        <v>7200</v>
      </c>
      <c r="S11" s="12">
        <f t="shared" si="1"/>
        <v>2386.4766324163079</v>
      </c>
    </row>
    <row r="12" spans="1:19" ht="18.75" x14ac:dyDescent="0.4">
      <c r="A12" s="3" t="s">
        <v>129</v>
      </c>
      <c r="B12" s="6" t="s">
        <v>639</v>
      </c>
      <c r="C12" s="6" t="s">
        <v>343</v>
      </c>
      <c r="D12" s="7">
        <v>2575</v>
      </c>
      <c r="E12" s="2" t="s">
        <v>42</v>
      </c>
      <c r="F12" s="2" t="s">
        <v>69</v>
      </c>
      <c r="G12" s="6">
        <v>26</v>
      </c>
      <c r="H12" s="6"/>
      <c r="I12" s="6"/>
      <c r="J12" s="6"/>
      <c r="K12" s="2"/>
      <c r="L12" s="6"/>
      <c r="M12" s="6"/>
      <c r="N12" s="6"/>
      <c r="P12" s="1" t="s">
        <v>624</v>
      </c>
      <c r="Q12" s="1" t="s">
        <v>629</v>
      </c>
      <c r="R12" s="5">
        <f t="shared" si="0"/>
        <v>5200</v>
      </c>
      <c r="S12" s="12">
        <f t="shared" si="1"/>
        <v>2019.4174757281553</v>
      </c>
    </row>
    <row r="13" spans="1:19" ht="18.75" x14ac:dyDescent="0.4">
      <c r="A13" s="3" t="s">
        <v>130</v>
      </c>
      <c r="B13" s="6" t="s">
        <v>639</v>
      </c>
      <c r="C13" s="6" t="s">
        <v>344</v>
      </c>
      <c r="D13" s="7">
        <v>5309</v>
      </c>
      <c r="E13" s="2" t="s">
        <v>53</v>
      </c>
      <c r="F13" s="2" t="s">
        <v>73</v>
      </c>
      <c r="G13" s="6">
        <v>68</v>
      </c>
      <c r="H13" s="6"/>
      <c r="I13" s="6"/>
      <c r="J13" s="6"/>
      <c r="K13" s="2"/>
      <c r="L13" s="6"/>
      <c r="M13" s="6"/>
      <c r="N13" s="6"/>
      <c r="P13" s="1" t="s">
        <v>624</v>
      </c>
      <c r="Q13" s="1" t="s">
        <v>629</v>
      </c>
      <c r="R13" s="5">
        <f t="shared" si="0"/>
        <v>13600</v>
      </c>
      <c r="S13" s="12">
        <f t="shared" si="1"/>
        <v>2561.6877001318517</v>
      </c>
    </row>
    <row r="14" spans="1:19" ht="18.75" x14ac:dyDescent="0.4">
      <c r="A14" s="3" t="s">
        <v>131</v>
      </c>
      <c r="B14" s="6" t="s">
        <v>639</v>
      </c>
      <c r="C14" s="6" t="s">
        <v>345</v>
      </c>
      <c r="D14" s="7">
        <v>4128</v>
      </c>
      <c r="E14" s="2" t="s">
        <v>42</v>
      </c>
      <c r="F14" s="2" t="s">
        <v>69</v>
      </c>
      <c r="G14" s="6">
        <v>45</v>
      </c>
      <c r="H14" s="6"/>
      <c r="I14" s="6"/>
      <c r="J14" s="6"/>
      <c r="K14" s="2"/>
      <c r="L14" s="6"/>
      <c r="M14" s="6"/>
      <c r="N14" s="6"/>
      <c r="P14" s="1" t="s">
        <v>624</v>
      </c>
      <c r="Q14" s="1" t="s">
        <v>629</v>
      </c>
      <c r="R14" s="5">
        <f t="shared" si="0"/>
        <v>9000</v>
      </c>
      <c r="S14" s="12">
        <f t="shared" si="1"/>
        <v>2180.2325581395348</v>
      </c>
    </row>
    <row r="15" spans="1:19" ht="18.75" x14ac:dyDescent="0.4">
      <c r="A15" s="3" t="s">
        <v>132</v>
      </c>
      <c r="B15" s="6" t="s">
        <v>639</v>
      </c>
      <c r="C15" s="6" t="s">
        <v>346</v>
      </c>
      <c r="D15" s="7">
        <v>4836</v>
      </c>
      <c r="E15" s="2" t="s">
        <v>47</v>
      </c>
      <c r="F15" s="2" t="s">
        <v>71</v>
      </c>
      <c r="G15" s="6"/>
      <c r="H15" s="6"/>
      <c r="I15" s="6">
        <v>47</v>
      </c>
      <c r="J15" s="6"/>
      <c r="K15" s="2"/>
      <c r="L15" s="6"/>
      <c r="M15" s="6"/>
      <c r="N15" s="6"/>
      <c r="P15" s="1" t="s">
        <v>624</v>
      </c>
      <c r="Q15" s="1" t="s">
        <v>629</v>
      </c>
      <c r="R15" s="5">
        <f t="shared" si="0"/>
        <v>14100</v>
      </c>
      <c r="S15" s="12">
        <f t="shared" si="1"/>
        <v>2915.6327543424318</v>
      </c>
    </row>
    <row r="16" spans="1:19" ht="18.75" x14ac:dyDescent="0.4">
      <c r="A16" s="3" t="s">
        <v>133</v>
      </c>
      <c r="B16" s="6" t="s">
        <v>639</v>
      </c>
      <c r="C16" s="6" t="s">
        <v>347</v>
      </c>
      <c r="D16" s="7">
        <v>3074</v>
      </c>
      <c r="E16" s="2" t="s">
        <v>47</v>
      </c>
      <c r="F16" s="2" t="s">
        <v>71</v>
      </c>
      <c r="G16" s="6"/>
      <c r="H16" s="6"/>
      <c r="I16" s="6">
        <v>26</v>
      </c>
      <c r="J16" s="6"/>
      <c r="K16" s="2"/>
      <c r="L16" s="6"/>
      <c r="M16" s="6"/>
      <c r="N16" s="6"/>
      <c r="P16" s="1" t="s">
        <v>624</v>
      </c>
      <c r="Q16" s="1" t="s">
        <v>629</v>
      </c>
      <c r="R16" s="5">
        <f t="shared" si="0"/>
        <v>7800</v>
      </c>
      <c r="S16" s="12">
        <f t="shared" si="1"/>
        <v>2537.4105400130125</v>
      </c>
    </row>
    <row r="17" spans="1:19" ht="18.75" x14ac:dyDescent="0.4">
      <c r="A17" s="3" t="s">
        <v>134</v>
      </c>
      <c r="B17" s="6" t="s">
        <v>639</v>
      </c>
      <c r="C17" s="6" t="s">
        <v>348</v>
      </c>
      <c r="D17" s="7">
        <v>4023</v>
      </c>
      <c r="E17" s="2" t="s">
        <v>48</v>
      </c>
      <c r="F17" s="2" t="s">
        <v>74</v>
      </c>
      <c r="G17" s="6"/>
      <c r="H17" s="6">
        <v>22</v>
      </c>
      <c r="I17" s="6"/>
      <c r="J17" s="6"/>
      <c r="K17" s="2"/>
      <c r="L17" s="6"/>
      <c r="M17" s="6"/>
      <c r="N17" s="6"/>
      <c r="P17" s="1" t="s">
        <v>624</v>
      </c>
      <c r="Q17" s="1" t="s">
        <v>629</v>
      </c>
      <c r="R17" s="5">
        <f t="shared" si="0"/>
        <v>5500</v>
      </c>
      <c r="S17" s="12">
        <f t="shared" si="1"/>
        <v>1367.1389510315685</v>
      </c>
    </row>
    <row r="18" spans="1:19" ht="18.75" x14ac:dyDescent="0.4">
      <c r="A18" s="3" t="s">
        <v>135</v>
      </c>
      <c r="B18" s="6" t="s">
        <v>639</v>
      </c>
      <c r="C18" s="6" t="s">
        <v>349</v>
      </c>
      <c r="D18" s="7">
        <v>1997</v>
      </c>
      <c r="E18" s="2" t="s">
        <v>47</v>
      </c>
      <c r="F18" s="2" t="s">
        <v>71</v>
      </c>
      <c r="G18" s="6"/>
      <c r="H18" s="6"/>
      <c r="I18" s="6">
        <v>22</v>
      </c>
      <c r="J18" s="6"/>
      <c r="K18" s="2"/>
      <c r="L18" s="6"/>
      <c r="M18" s="6"/>
      <c r="N18" s="6"/>
      <c r="P18" s="1" t="s">
        <v>624</v>
      </c>
      <c r="Q18" s="1" t="s">
        <v>629</v>
      </c>
      <c r="R18" s="5">
        <f t="shared" si="0"/>
        <v>6600</v>
      </c>
      <c r="S18" s="12">
        <f t="shared" si="1"/>
        <v>3304.9574361542313</v>
      </c>
    </row>
    <row r="19" spans="1:19" ht="18.75" x14ac:dyDescent="0.4">
      <c r="A19" s="3" t="s">
        <v>136</v>
      </c>
      <c r="B19" s="6" t="s">
        <v>639</v>
      </c>
      <c r="C19" s="6" t="s">
        <v>350</v>
      </c>
      <c r="D19" s="7">
        <v>2789</v>
      </c>
      <c r="E19" s="2" t="s">
        <v>42</v>
      </c>
      <c r="F19" s="2" t="s">
        <v>69</v>
      </c>
      <c r="G19" s="6">
        <v>27</v>
      </c>
      <c r="H19" s="6"/>
      <c r="I19" s="6"/>
      <c r="J19" s="6"/>
      <c r="K19" s="2"/>
      <c r="L19" s="6"/>
      <c r="M19" s="6"/>
      <c r="N19" s="6"/>
      <c r="P19" s="1" t="s">
        <v>624</v>
      </c>
      <c r="Q19" s="1" t="s">
        <v>629</v>
      </c>
      <c r="R19" s="5">
        <f t="shared" si="0"/>
        <v>5400</v>
      </c>
      <c r="S19" s="12">
        <f t="shared" si="1"/>
        <v>1936.1778415202582</v>
      </c>
    </row>
    <row r="20" spans="1:19" ht="18.75" x14ac:dyDescent="0.4">
      <c r="A20" s="3" t="s">
        <v>137</v>
      </c>
      <c r="B20" s="6" t="s">
        <v>639</v>
      </c>
      <c r="C20" s="6" t="s">
        <v>351</v>
      </c>
      <c r="D20" s="7">
        <v>3470</v>
      </c>
      <c r="E20" s="2" t="s">
        <v>42</v>
      </c>
      <c r="F20" s="2" t="s">
        <v>69</v>
      </c>
      <c r="G20" s="6">
        <v>36</v>
      </c>
      <c r="H20" s="6"/>
      <c r="I20" s="6"/>
      <c r="J20" s="6"/>
      <c r="K20" s="2"/>
      <c r="L20" s="6"/>
      <c r="M20" s="6"/>
      <c r="N20" s="6"/>
      <c r="P20" s="1" t="s">
        <v>624</v>
      </c>
      <c r="Q20" s="1" t="s">
        <v>629</v>
      </c>
      <c r="R20" s="5">
        <f t="shared" si="0"/>
        <v>7200</v>
      </c>
      <c r="S20" s="12">
        <f t="shared" si="1"/>
        <v>2074.9279538904898</v>
      </c>
    </row>
    <row r="21" spans="1:19" ht="18.75" x14ac:dyDescent="0.4">
      <c r="A21" s="3" t="s">
        <v>138</v>
      </c>
      <c r="B21" s="6" t="s">
        <v>639</v>
      </c>
      <c r="C21" s="6" t="s">
        <v>352</v>
      </c>
      <c r="D21" s="7">
        <v>1967</v>
      </c>
      <c r="E21" s="2" t="s">
        <v>43</v>
      </c>
      <c r="F21" s="2" t="s">
        <v>70</v>
      </c>
      <c r="G21" s="6">
        <v>20</v>
      </c>
      <c r="H21" s="6"/>
      <c r="I21" s="6"/>
      <c r="J21" s="6"/>
      <c r="K21" s="2"/>
      <c r="L21" s="6"/>
      <c r="M21" s="6"/>
      <c r="N21" s="6"/>
      <c r="P21" s="1" t="s">
        <v>624</v>
      </c>
      <c r="Q21" s="1" t="s">
        <v>629</v>
      </c>
      <c r="R21" s="5">
        <f t="shared" si="0"/>
        <v>4000</v>
      </c>
      <c r="S21" s="12">
        <f t="shared" si="1"/>
        <v>2033.5536349771223</v>
      </c>
    </row>
    <row r="22" spans="1:19" ht="18.75" x14ac:dyDescent="0.4">
      <c r="A22" s="3" t="s">
        <v>139</v>
      </c>
      <c r="B22" s="6" t="s">
        <v>639</v>
      </c>
      <c r="C22" s="6" t="s">
        <v>353</v>
      </c>
      <c r="D22" s="7">
        <v>3956</v>
      </c>
      <c r="E22" s="2" t="s">
        <v>43</v>
      </c>
      <c r="F22" s="2" t="s">
        <v>70</v>
      </c>
      <c r="G22" s="6">
        <v>43</v>
      </c>
      <c r="H22" s="6"/>
      <c r="I22" s="6"/>
      <c r="J22" s="6"/>
      <c r="K22" s="2"/>
      <c r="L22" s="6"/>
      <c r="M22" s="6"/>
      <c r="N22" s="6"/>
      <c r="P22" s="1" t="s">
        <v>624</v>
      </c>
      <c r="Q22" s="1" t="s">
        <v>629</v>
      </c>
      <c r="R22" s="5">
        <f t="shared" si="0"/>
        <v>8600</v>
      </c>
      <c r="S22" s="12">
        <f t="shared" si="1"/>
        <v>2173.9130434782605</v>
      </c>
    </row>
    <row r="23" spans="1:19" ht="18.75" x14ac:dyDescent="0.4">
      <c r="A23" s="3" t="s">
        <v>140</v>
      </c>
      <c r="B23" s="6" t="s">
        <v>639</v>
      </c>
      <c r="C23" s="6" t="s">
        <v>354</v>
      </c>
      <c r="D23" s="7">
        <v>2319</v>
      </c>
      <c r="E23" s="2" t="s">
        <v>43</v>
      </c>
      <c r="F23" s="2" t="s">
        <v>70</v>
      </c>
      <c r="G23" s="6">
        <v>23</v>
      </c>
      <c r="H23" s="6"/>
      <c r="I23" s="6"/>
      <c r="J23" s="6"/>
      <c r="K23" s="2"/>
      <c r="L23" s="6"/>
      <c r="M23" s="6"/>
      <c r="N23" s="6"/>
      <c r="P23" s="1" t="s">
        <v>624</v>
      </c>
      <c r="Q23" s="1" t="s">
        <v>629</v>
      </c>
      <c r="R23" s="5">
        <f t="shared" si="0"/>
        <v>4600</v>
      </c>
      <c r="S23" s="12">
        <f t="shared" si="1"/>
        <v>1983.613626563174</v>
      </c>
    </row>
    <row r="24" spans="1:19" ht="18.75" x14ac:dyDescent="0.4">
      <c r="A24" s="3" t="s">
        <v>141</v>
      </c>
      <c r="B24" s="6" t="s">
        <v>639</v>
      </c>
      <c r="C24" s="6" t="s">
        <v>355</v>
      </c>
      <c r="D24" s="7">
        <v>2207</v>
      </c>
      <c r="E24" s="2" t="s">
        <v>54</v>
      </c>
      <c r="F24" s="2" t="s">
        <v>75</v>
      </c>
      <c r="G24" s="6">
        <v>24</v>
      </c>
      <c r="H24" s="6"/>
      <c r="I24" s="6"/>
      <c r="J24" s="6"/>
      <c r="K24" s="2"/>
      <c r="L24" s="6"/>
      <c r="M24" s="6"/>
      <c r="N24" s="6"/>
      <c r="P24" s="1" t="s">
        <v>624</v>
      </c>
      <c r="Q24" s="1" t="s">
        <v>629</v>
      </c>
      <c r="R24" s="5">
        <f t="shared" si="0"/>
        <v>4800</v>
      </c>
      <c r="S24" s="12">
        <f t="shared" si="1"/>
        <v>2174.8980516538286</v>
      </c>
    </row>
    <row r="25" spans="1:19" ht="18.75" x14ac:dyDescent="0.4">
      <c r="A25" s="3" t="s">
        <v>142</v>
      </c>
      <c r="B25" s="6" t="s">
        <v>639</v>
      </c>
      <c r="C25" s="6" t="s">
        <v>356</v>
      </c>
      <c r="D25" s="7">
        <v>6763</v>
      </c>
      <c r="E25" s="2" t="s">
        <v>54</v>
      </c>
      <c r="F25" s="2" t="s">
        <v>75</v>
      </c>
      <c r="G25" s="6">
        <v>74</v>
      </c>
      <c r="H25" s="6"/>
      <c r="I25" s="6"/>
      <c r="J25" s="6"/>
      <c r="K25" s="2"/>
      <c r="L25" s="6"/>
      <c r="M25" s="6"/>
      <c r="N25" s="6"/>
      <c r="P25" s="1" t="s">
        <v>624</v>
      </c>
      <c r="Q25" s="1" t="s">
        <v>629</v>
      </c>
      <c r="R25" s="5">
        <f t="shared" si="0"/>
        <v>14800</v>
      </c>
      <c r="S25" s="12">
        <f t="shared" si="1"/>
        <v>2188.377938784563</v>
      </c>
    </row>
    <row r="26" spans="1:19" ht="18.75" x14ac:dyDescent="0.4">
      <c r="A26" s="3" t="s">
        <v>143</v>
      </c>
      <c r="B26" s="6" t="s">
        <v>639</v>
      </c>
      <c r="C26" s="6" t="s">
        <v>357</v>
      </c>
      <c r="D26" s="7">
        <v>910</v>
      </c>
      <c r="E26" s="2" t="s">
        <v>54</v>
      </c>
      <c r="F26" s="2" t="s">
        <v>75</v>
      </c>
      <c r="G26" s="6">
        <v>22</v>
      </c>
      <c r="H26" s="6"/>
      <c r="I26" s="6"/>
      <c r="J26" s="6"/>
      <c r="K26" s="2"/>
      <c r="L26" s="6"/>
      <c r="M26" s="6"/>
      <c r="N26" s="6"/>
      <c r="P26" s="1" t="s">
        <v>624</v>
      </c>
      <c r="Q26" s="1" t="s">
        <v>629</v>
      </c>
      <c r="R26" s="5">
        <f t="shared" si="0"/>
        <v>4400</v>
      </c>
      <c r="S26" s="12">
        <f t="shared" si="1"/>
        <v>4835.1648351648346</v>
      </c>
    </row>
    <row r="27" spans="1:19" ht="18.75" x14ac:dyDescent="0.4">
      <c r="A27" s="3" t="s">
        <v>144</v>
      </c>
      <c r="B27" s="6" t="s">
        <v>639</v>
      </c>
      <c r="C27" s="6" t="s">
        <v>358</v>
      </c>
      <c r="D27" s="7">
        <v>1206</v>
      </c>
      <c r="E27" s="2" t="s">
        <v>54</v>
      </c>
      <c r="F27" s="2" t="s">
        <v>75</v>
      </c>
      <c r="G27" s="6">
        <v>11</v>
      </c>
      <c r="H27" s="6"/>
      <c r="I27" s="6"/>
      <c r="J27" s="6"/>
      <c r="K27" s="2"/>
      <c r="L27" s="6"/>
      <c r="M27" s="6"/>
      <c r="N27" s="6"/>
      <c r="P27" s="1" t="s">
        <v>624</v>
      </c>
      <c r="Q27" s="1" t="s">
        <v>629</v>
      </c>
      <c r="R27" s="5">
        <f t="shared" si="0"/>
        <v>2200</v>
      </c>
      <c r="S27" s="12">
        <f t="shared" si="1"/>
        <v>1824.2122719734659</v>
      </c>
    </row>
    <row r="28" spans="1:19" ht="18.75" x14ac:dyDescent="0.4">
      <c r="A28" s="3" t="s">
        <v>145</v>
      </c>
      <c r="B28" s="6" t="s">
        <v>639</v>
      </c>
      <c r="C28" s="6" t="s">
        <v>359</v>
      </c>
      <c r="D28" s="7">
        <v>7838</v>
      </c>
      <c r="E28" s="2" t="s">
        <v>54</v>
      </c>
      <c r="F28" s="2" t="s">
        <v>75</v>
      </c>
      <c r="G28" s="6">
        <v>90</v>
      </c>
      <c r="H28" s="6"/>
      <c r="I28" s="6"/>
      <c r="J28" s="6"/>
      <c r="K28" s="2"/>
      <c r="L28" s="6"/>
      <c r="M28" s="6"/>
      <c r="N28" s="6"/>
      <c r="P28" s="1" t="s">
        <v>624</v>
      </c>
      <c r="Q28" s="1" t="s">
        <v>629</v>
      </c>
      <c r="R28" s="5">
        <f t="shared" si="0"/>
        <v>18000</v>
      </c>
      <c r="S28" s="12">
        <f t="shared" si="1"/>
        <v>2296.504210257719</v>
      </c>
    </row>
    <row r="29" spans="1:19" ht="18.75" x14ac:dyDescent="0.4">
      <c r="A29" s="3" t="s">
        <v>146</v>
      </c>
      <c r="B29" s="6" t="s">
        <v>639</v>
      </c>
      <c r="C29" s="6" t="s">
        <v>360</v>
      </c>
      <c r="D29" s="7">
        <v>4244</v>
      </c>
      <c r="E29" s="2" t="s">
        <v>51</v>
      </c>
      <c r="F29" s="2" t="s">
        <v>72</v>
      </c>
      <c r="G29" s="6">
        <v>51</v>
      </c>
      <c r="H29" s="6"/>
      <c r="I29" s="6"/>
      <c r="J29" s="6"/>
      <c r="K29" s="2"/>
      <c r="L29" s="6"/>
      <c r="M29" s="6"/>
      <c r="N29" s="6"/>
      <c r="P29" s="1" t="s">
        <v>624</v>
      </c>
      <c r="Q29" s="1" t="s">
        <v>629</v>
      </c>
      <c r="R29" s="5">
        <f t="shared" si="0"/>
        <v>10200</v>
      </c>
      <c r="S29" s="12">
        <f t="shared" si="1"/>
        <v>2403.3930254476909</v>
      </c>
    </row>
    <row r="30" spans="1:19" ht="18.75" x14ac:dyDescent="0.4">
      <c r="A30" s="3" t="s">
        <v>147</v>
      </c>
      <c r="B30" s="6" t="s">
        <v>639</v>
      </c>
      <c r="C30" s="6" t="s">
        <v>361</v>
      </c>
      <c r="D30" s="7">
        <v>2890</v>
      </c>
      <c r="E30" s="2" t="s">
        <v>51</v>
      </c>
      <c r="F30" s="2" t="s">
        <v>72</v>
      </c>
      <c r="G30" s="6">
        <v>42</v>
      </c>
      <c r="H30" s="6"/>
      <c r="I30" s="6"/>
      <c r="J30" s="6"/>
      <c r="K30" s="2"/>
      <c r="L30" s="6"/>
      <c r="M30" s="6"/>
      <c r="N30" s="6"/>
      <c r="P30" s="1" t="s">
        <v>624</v>
      </c>
      <c r="Q30" s="1" t="s">
        <v>629</v>
      </c>
      <c r="R30" s="5">
        <f t="shared" si="0"/>
        <v>8400</v>
      </c>
      <c r="S30" s="12">
        <f t="shared" si="1"/>
        <v>2906.5743944636679</v>
      </c>
    </row>
    <row r="31" spans="1:19" ht="18.75" x14ac:dyDescent="0.4">
      <c r="A31" s="3" t="s">
        <v>148</v>
      </c>
      <c r="B31" s="6" t="s">
        <v>639</v>
      </c>
      <c r="C31" s="6" t="s">
        <v>362</v>
      </c>
      <c r="D31" s="7">
        <v>1800</v>
      </c>
      <c r="E31" s="2" t="s">
        <v>54</v>
      </c>
      <c r="F31" s="2" t="s">
        <v>75</v>
      </c>
      <c r="G31" s="6">
        <v>23</v>
      </c>
      <c r="H31" s="6"/>
      <c r="I31" s="6"/>
      <c r="J31" s="6"/>
      <c r="K31" s="2"/>
      <c r="L31" s="6"/>
      <c r="M31" s="6"/>
      <c r="N31" s="6"/>
      <c r="P31" s="1" t="s">
        <v>624</v>
      </c>
      <c r="Q31" s="1" t="s">
        <v>629</v>
      </c>
      <c r="R31" s="5">
        <f t="shared" si="0"/>
        <v>4600</v>
      </c>
      <c r="S31" s="12">
        <f t="shared" si="1"/>
        <v>2555.5555555555552</v>
      </c>
    </row>
    <row r="32" spans="1:19" ht="18.75" x14ac:dyDescent="0.4">
      <c r="A32" s="3" t="s">
        <v>149</v>
      </c>
      <c r="B32" s="6" t="s">
        <v>639</v>
      </c>
      <c r="C32" s="6" t="s">
        <v>363</v>
      </c>
      <c r="D32" s="7">
        <v>2938</v>
      </c>
      <c r="E32" s="2" t="s">
        <v>114</v>
      </c>
      <c r="F32" s="2" t="s">
        <v>19</v>
      </c>
      <c r="G32" s="6"/>
      <c r="H32" s="6"/>
      <c r="I32" s="6">
        <v>33</v>
      </c>
      <c r="J32" s="6" t="s">
        <v>364</v>
      </c>
      <c r="K32" s="2" t="s">
        <v>16</v>
      </c>
      <c r="L32" s="6" t="s">
        <v>365</v>
      </c>
      <c r="M32" s="6"/>
      <c r="N32" s="6" t="s">
        <v>366</v>
      </c>
      <c r="P32" s="9" t="s">
        <v>625</v>
      </c>
      <c r="Q32" s="1" t="s">
        <v>629</v>
      </c>
      <c r="R32" s="5">
        <f t="shared" si="0"/>
        <v>9900</v>
      </c>
      <c r="S32" s="12">
        <f t="shared" si="1"/>
        <v>3369.6392103471749</v>
      </c>
    </row>
    <row r="33" spans="1:19" ht="18.75" x14ac:dyDescent="0.4">
      <c r="A33" s="3" t="s">
        <v>150</v>
      </c>
      <c r="B33" s="6" t="s">
        <v>639</v>
      </c>
      <c r="C33" s="6" t="s">
        <v>367</v>
      </c>
      <c r="D33" s="7">
        <v>1729</v>
      </c>
      <c r="E33" s="2" t="s">
        <v>114</v>
      </c>
      <c r="F33" s="2" t="s">
        <v>19</v>
      </c>
      <c r="G33" s="6"/>
      <c r="H33" s="6"/>
      <c r="I33" s="6">
        <v>20</v>
      </c>
      <c r="J33" s="6" t="s">
        <v>368</v>
      </c>
      <c r="K33" s="2" t="s">
        <v>16</v>
      </c>
      <c r="L33" s="6" t="s">
        <v>365</v>
      </c>
      <c r="M33" s="6"/>
      <c r="N33" s="6" t="s">
        <v>366</v>
      </c>
      <c r="P33" s="10" t="s">
        <v>625</v>
      </c>
      <c r="Q33" s="1" t="s">
        <v>629</v>
      </c>
      <c r="R33" s="5">
        <f t="shared" si="0"/>
        <v>6000</v>
      </c>
      <c r="S33" s="12">
        <f t="shared" si="1"/>
        <v>3470.2139965297861</v>
      </c>
    </row>
    <row r="34" spans="1:19" ht="18.75" x14ac:dyDescent="0.4">
      <c r="A34" s="3" t="s">
        <v>151</v>
      </c>
      <c r="B34" s="6" t="s">
        <v>639</v>
      </c>
      <c r="C34" s="6" t="s">
        <v>369</v>
      </c>
      <c r="D34" s="7">
        <v>6252</v>
      </c>
      <c r="E34" s="2" t="s">
        <v>114</v>
      </c>
      <c r="F34" s="2" t="s">
        <v>19</v>
      </c>
      <c r="G34" s="6"/>
      <c r="H34" s="6"/>
      <c r="I34" s="6">
        <v>69</v>
      </c>
      <c r="J34" s="6" t="s">
        <v>368</v>
      </c>
      <c r="K34" s="2" t="s">
        <v>16</v>
      </c>
      <c r="L34" s="6" t="s">
        <v>365</v>
      </c>
      <c r="M34" s="6"/>
      <c r="N34" s="6" t="s">
        <v>366</v>
      </c>
      <c r="P34" s="10" t="s">
        <v>625</v>
      </c>
      <c r="Q34" s="1" t="s">
        <v>629</v>
      </c>
      <c r="R34" s="5">
        <f t="shared" si="0"/>
        <v>20700</v>
      </c>
      <c r="S34" s="12">
        <f t="shared" si="1"/>
        <v>3310.9404990403073</v>
      </c>
    </row>
    <row r="35" spans="1:19" ht="18.75" x14ac:dyDescent="0.4">
      <c r="A35" s="3" t="s">
        <v>152</v>
      </c>
      <c r="B35" s="6" t="s">
        <v>639</v>
      </c>
      <c r="C35" s="6" t="s">
        <v>370</v>
      </c>
      <c r="D35" s="7">
        <v>2653</v>
      </c>
      <c r="E35" s="2" t="s">
        <v>114</v>
      </c>
      <c r="F35" s="2" t="s">
        <v>19</v>
      </c>
      <c r="G35" s="6"/>
      <c r="H35" s="6"/>
      <c r="I35" s="6">
        <v>28</v>
      </c>
      <c r="J35" s="6" t="s">
        <v>368</v>
      </c>
      <c r="K35" s="2" t="s">
        <v>16</v>
      </c>
      <c r="L35" s="6" t="s">
        <v>365</v>
      </c>
      <c r="M35" s="6"/>
      <c r="N35" s="6" t="s">
        <v>366</v>
      </c>
      <c r="P35" s="10" t="s">
        <v>625</v>
      </c>
      <c r="Q35" s="1" t="s">
        <v>629</v>
      </c>
      <c r="R35" s="5">
        <f t="shared" si="0"/>
        <v>8400</v>
      </c>
      <c r="S35" s="12">
        <f t="shared" si="1"/>
        <v>3166.2269129287597</v>
      </c>
    </row>
    <row r="36" spans="1:19" ht="18.75" x14ac:dyDescent="0.4">
      <c r="A36" s="3" t="s">
        <v>153</v>
      </c>
      <c r="B36" s="6" t="s">
        <v>639</v>
      </c>
      <c r="C36" s="6" t="s">
        <v>371</v>
      </c>
      <c r="D36" s="7">
        <v>3356</v>
      </c>
      <c r="E36" s="2" t="s">
        <v>19</v>
      </c>
      <c r="F36" s="2" t="s">
        <v>76</v>
      </c>
      <c r="G36" s="6"/>
      <c r="H36" s="6"/>
      <c r="I36" s="6">
        <v>28</v>
      </c>
      <c r="J36" s="6" t="s">
        <v>372</v>
      </c>
      <c r="K36" s="2" t="s">
        <v>373</v>
      </c>
      <c r="L36" s="6" t="s">
        <v>365</v>
      </c>
      <c r="M36" s="6" t="s">
        <v>374</v>
      </c>
      <c r="N36" s="6" t="s">
        <v>366</v>
      </c>
      <c r="P36" s="10" t="s">
        <v>625</v>
      </c>
      <c r="Q36" s="1" t="s">
        <v>629</v>
      </c>
      <c r="R36" s="5">
        <f t="shared" si="0"/>
        <v>8400</v>
      </c>
      <c r="S36" s="12">
        <f t="shared" si="1"/>
        <v>2502.9797377830751</v>
      </c>
    </row>
    <row r="37" spans="1:19" ht="18.75" x14ac:dyDescent="0.4">
      <c r="A37" s="3" t="s">
        <v>154</v>
      </c>
      <c r="B37" s="6" t="s">
        <v>639</v>
      </c>
      <c r="C37" s="6" t="s">
        <v>375</v>
      </c>
      <c r="D37" s="7">
        <v>2181</v>
      </c>
      <c r="E37" s="2" t="s">
        <v>19</v>
      </c>
      <c r="F37" s="2" t="s">
        <v>76</v>
      </c>
      <c r="G37" s="6"/>
      <c r="H37" s="6"/>
      <c r="I37" s="6">
        <v>19</v>
      </c>
      <c r="J37" s="6" t="s">
        <v>376</v>
      </c>
      <c r="K37" s="2" t="s">
        <v>20</v>
      </c>
      <c r="L37" s="6" t="s">
        <v>365</v>
      </c>
      <c r="M37" s="6"/>
      <c r="N37" s="6" t="s">
        <v>366</v>
      </c>
      <c r="P37" s="10" t="s">
        <v>625</v>
      </c>
      <c r="Q37" s="1" t="s">
        <v>629</v>
      </c>
      <c r="R37" s="5">
        <f t="shared" si="0"/>
        <v>5700</v>
      </c>
      <c r="S37" s="12">
        <f t="shared" si="1"/>
        <v>2613.4800550206323</v>
      </c>
    </row>
    <row r="38" spans="1:19" ht="18.75" x14ac:dyDescent="0.4">
      <c r="A38" s="3" t="s">
        <v>155</v>
      </c>
      <c r="B38" s="6" t="s">
        <v>639</v>
      </c>
      <c r="C38" s="6" t="s">
        <v>377</v>
      </c>
      <c r="D38" s="7">
        <v>4025</v>
      </c>
      <c r="E38" s="2" t="s">
        <v>19</v>
      </c>
      <c r="F38" s="2" t="s">
        <v>76</v>
      </c>
      <c r="G38" s="6"/>
      <c r="H38" s="6"/>
      <c r="I38" s="6">
        <v>35</v>
      </c>
      <c r="J38" s="6" t="s">
        <v>376</v>
      </c>
      <c r="K38" s="2" t="s">
        <v>20</v>
      </c>
      <c r="L38" s="6" t="s">
        <v>365</v>
      </c>
      <c r="M38" s="6"/>
      <c r="N38" s="6" t="s">
        <v>366</v>
      </c>
      <c r="P38" s="10" t="s">
        <v>625</v>
      </c>
      <c r="Q38" s="1" t="s">
        <v>629</v>
      </c>
      <c r="R38" s="5">
        <f t="shared" si="0"/>
        <v>10500</v>
      </c>
      <c r="S38" s="12">
        <f t="shared" si="1"/>
        <v>2608.695652173913</v>
      </c>
    </row>
    <row r="39" spans="1:19" ht="18.75" x14ac:dyDescent="0.4">
      <c r="A39" s="3" t="s">
        <v>156</v>
      </c>
      <c r="B39" s="6" t="s">
        <v>639</v>
      </c>
      <c r="C39" s="6" t="s">
        <v>378</v>
      </c>
      <c r="D39" s="7">
        <v>8045</v>
      </c>
      <c r="E39" s="2" t="s">
        <v>114</v>
      </c>
      <c r="F39" s="2" t="s">
        <v>19</v>
      </c>
      <c r="G39" s="6"/>
      <c r="H39" s="6"/>
      <c r="I39" s="6">
        <v>78</v>
      </c>
      <c r="J39" s="6" t="s">
        <v>379</v>
      </c>
      <c r="K39" s="2" t="s">
        <v>20</v>
      </c>
      <c r="L39" s="6" t="s">
        <v>365</v>
      </c>
      <c r="M39" s="6"/>
      <c r="N39" s="6" t="s">
        <v>366</v>
      </c>
      <c r="P39" s="10" t="s">
        <v>625</v>
      </c>
      <c r="Q39" s="1" t="s">
        <v>629</v>
      </c>
      <c r="R39" s="5">
        <f t="shared" si="0"/>
        <v>23400</v>
      </c>
      <c r="S39" s="12">
        <f t="shared" si="1"/>
        <v>2908.6389061528898</v>
      </c>
    </row>
    <row r="40" spans="1:19" ht="18.75" x14ac:dyDescent="0.4">
      <c r="A40" s="3" t="s">
        <v>157</v>
      </c>
      <c r="B40" s="6" t="s">
        <v>639</v>
      </c>
      <c r="C40" s="6" t="s">
        <v>380</v>
      </c>
      <c r="D40" s="7">
        <v>6003</v>
      </c>
      <c r="E40" s="2" t="s">
        <v>10</v>
      </c>
      <c r="F40" s="2" t="s">
        <v>77</v>
      </c>
      <c r="G40" s="6">
        <v>82</v>
      </c>
      <c r="H40" s="6"/>
      <c r="I40" s="6"/>
      <c r="J40" s="6" t="s">
        <v>381</v>
      </c>
      <c r="K40" s="2" t="s">
        <v>12</v>
      </c>
      <c r="L40" s="6" t="s">
        <v>382</v>
      </c>
      <c r="M40" s="6"/>
      <c r="N40" s="6" t="s">
        <v>383</v>
      </c>
      <c r="P40" s="10" t="s">
        <v>118</v>
      </c>
      <c r="Q40" s="1" t="s">
        <v>629</v>
      </c>
      <c r="R40" s="5">
        <f t="shared" si="0"/>
        <v>16400</v>
      </c>
      <c r="S40" s="12">
        <f t="shared" si="1"/>
        <v>2731.9673496585037</v>
      </c>
    </row>
    <row r="41" spans="1:19" ht="18.75" x14ac:dyDescent="0.4">
      <c r="A41" s="3" t="s">
        <v>158</v>
      </c>
      <c r="B41" s="6" t="s">
        <v>639</v>
      </c>
      <c r="C41" s="6" t="s">
        <v>384</v>
      </c>
      <c r="D41" s="7">
        <v>7762</v>
      </c>
      <c r="E41" s="2" t="s">
        <v>11</v>
      </c>
      <c r="F41" s="2" t="s">
        <v>115</v>
      </c>
      <c r="G41" s="6">
        <v>90</v>
      </c>
      <c r="H41" s="6"/>
      <c r="I41" s="6"/>
      <c r="J41" s="6" t="s">
        <v>385</v>
      </c>
      <c r="K41" s="2" t="s">
        <v>13</v>
      </c>
      <c r="L41" s="6" t="s">
        <v>386</v>
      </c>
      <c r="M41" s="6"/>
      <c r="N41" s="6" t="s">
        <v>366</v>
      </c>
      <c r="P41" s="10" t="s">
        <v>118</v>
      </c>
      <c r="Q41" s="1" t="s">
        <v>629</v>
      </c>
      <c r="R41" s="5">
        <f t="shared" si="0"/>
        <v>18000</v>
      </c>
      <c r="S41" s="12">
        <f t="shared" si="1"/>
        <v>2318.9899510435453</v>
      </c>
    </row>
    <row r="42" spans="1:19" ht="18.75" x14ac:dyDescent="0.4">
      <c r="A42" s="3" t="s">
        <v>159</v>
      </c>
      <c r="B42" s="6" t="s">
        <v>639</v>
      </c>
      <c r="C42" s="6" t="s">
        <v>387</v>
      </c>
      <c r="D42" s="7">
        <v>7155</v>
      </c>
      <c r="E42" s="2" t="s">
        <v>11</v>
      </c>
      <c r="F42" s="2" t="s">
        <v>78</v>
      </c>
      <c r="G42" s="6">
        <v>78</v>
      </c>
      <c r="H42" s="6"/>
      <c r="I42" s="6"/>
      <c r="J42" s="6" t="s">
        <v>381</v>
      </c>
      <c r="K42" s="2" t="s">
        <v>12</v>
      </c>
      <c r="L42" s="6" t="s">
        <v>386</v>
      </c>
      <c r="M42" s="6"/>
      <c r="N42" s="6" t="s">
        <v>366</v>
      </c>
      <c r="P42" s="10" t="s">
        <v>118</v>
      </c>
      <c r="Q42" s="1" t="s">
        <v>629</v>
      </c>
      <c r="R42" s="5">
        <f t="shared" si="0"/>
        <v>15600</v>
      </c>
      <c r="S42" s="12">
        <f t="shared" si="1"/>
        <v>2180.2935010482179</v>
      </c>
    </row>
    <row r="43" spans="1:19" ht="18.75" x14ac:dyDescent="0.4">
      <c r="A43" s="3" t="s">
        <v>160</v>
      </c>
      <c r="B43" s="6" t="s">
        <v>639</v>
      </c>
      <c r="C43" s="6" t="s">
        <v>388</v>
      </c>
      <c r="D43" s="7">
        <v>7017</v>
      </c>
      <c r="E43" s="2" t="s">
        <v>116</v>
      </c>
      <c r="F43" s="2" t="s">
        <v>11</v>
      </c>
      <c r="G43" s="6">
        <v>86</v>
      </c>
      <c r="H43" s="6"/>
      <c r="I43" s="6"/>
      <c r="J43" s="6" t="s">
        <v>385</v>
      </c>
      <c r="K43" s="2" t="s">
        <v>13</v>
      </c>
      <c r="L43" s="6" t="s">
        <v>386</v>
      </c>
      <c r="M43" s="6"/>
      <c r="N43" s="6" t="s">
        <v>366</v>
      </c>
      <c r="P43" s="10" t="s">
        <v>118</v>
      </c>
      <c r="Q43" s="1" t="s">
        <v>629</v>
      </c>
      <c r="R43" s="5">
        <f t="shared" si="0"/>
        <v>17200</v>
      </c>
      <c r="S43" s="12">
        <f t="shared" si="1"/>
        <v>2451.1899672224599</v>
      </c>
    </row>
    <row r="44" spans="1:19" ht="18.75" x14ac:dyDescent="0.4">
      <c r="A44" s="3" t="s">
        <v>161</v>
      </c>
      <c r="B44" s="6" t="s">
        <v>639</v>
      </c>
      <c r="C44" s="6" t="s">
        <v>389</v>
      </c>
      <c r="D44" s="7">
        <v>8091</v>
      </c>
      <c r="E44" s="2" t="s">
        <v>10</v>
      </c>
      <c r="F44" s="2" t="s">
        <v>116</v>
      </c>
      <c r="G44" s="6">
        <v>98</v>
      </c>
      <c r="H44" s="6"/>
      <c r="I44" s="6"/>
      <c r="J44" s="6" t="s">
        <v>385</v>
      </c>
      <c r="K44" s="2" t="s">
        <v>390</v>
      </c>
      <c r="L44" s="6" t="s">
        <v>386</v>
      </c>
      <c r="M44" s="6" t="s">
        <v>391</v>
      </c>
      <c r="N44" s="6" t="s">
        <v>366</v>
      </c>
      <c r="P44" s="10" t="s">
        <v>118</v>
      </c>
      <c r="Q44" s="1" t="s">
        <v>629</v>
      </c>
      <c r="R44" s="5">
        <f t="shared" si="0"/>
        <v>19600</v>
      </c>
      <c r="S44" s="12">
        <f t="shared" si="1"/>
        <v>2422.4446916326783</v>
      </c>
    </row>
    <row r="45" spans="1:19" ht="18.75" x14ac:dyDescent="0.4">
      <c r="A45" s="3"/>
      <c r="B45" s="6" t="s">
        <v>639</v>
      </c>
      <c r="C45" s="6" t="s">
        <v>392</v>
      </c>
      <c r="D45" s="7" t="s">
        <v>55</v>
      </c>
      <c r="E45" s="2" t="s">
        <v>51</v>
      </c>
      <c r="F45" s="2" t="s">
        <v>72</v>
      </c>
      <c r="G45" s="6">
        <v>53</v>
      </c>
      <c r="H45" s="6"/>
      <c r="I45" s="6"/>
      <c r="J45" s="6"/>
      <c r="K45" s="2"/>
      <c r="L45" s="6"/>
      <c r="M45" s="6"/>
      <c r="N45" s="6"/>
      <c r="P45" s="1" t="s">
        <v>624</v>
      </c>
      <c r="Q45" s="1" t="s">
        <v>629</v>
      </c>
      <c r="R45" s="5">
        <f t="shared" si="0"/>
        <v>10600</v>
      </c>
      <c r="S45" s="12">
        <f t="shared" si="1"/>
        <v>2344.0955329500221</v>
      </c>
    </row>
    <row r="46" spans="1:19" ht="18.75" x14ac:dyDescent="0.4">
      <c r="A46" s="3" t="s">
        <v>162</v>
      </c>
      <c r="B46" s="6" t="s">
        <v>639</v>
      </c>
      <c r="C46" s="6" t="s">
        <v>393</v>
      </c>
      <c r="D46" s="7">
        <v>4205</v>
      </c>
      <c r="E46" s="2" t="s">
        <v>18</v>
      </c>
      <c r="F46" s="2" t="s">
        <v>79</v>
      </c>
      <c r="G46" s="6">
        <v>47</v>
      </c>
      <c r="H46" s="6"/>
      <c r="I46" s="6"/>
      <c r="J46" s="6" t="s">
        <v>394</v>
      </c>
      <c r="K46" s="2" t="s">
        <v>395</v>
      </c>
      <c r="L46" s="6" t="s">
        <v>365</v>
      </c>
      <c r="M46" s="6" t="s">
        <v>396</v>
      </c>
      <c r="N46" s="6" t="s">
        <v>366</v>
      </c>
      <c r="P46" s="9" t="s">
        <v>625</v>
      </c>
      <c r="Q46" s="1" t="s">
        <v>629</v>
      </c>
      <c r="R46" s="5">
        <f t="shared" si="0"/>
        <v>9400</v>
      </c>
      <c r="S46" s="12">
        <f t="shared" si="1"/>
        <v>2235.434007134364</v>
      </c>
    </row>
    <row r="47" spans="1:19" x14ac:dyDescent="0.25">
      <c r="A47" s="3" t="s">
        <v>163</v>
      </c>
      <c r="B47" s="6" t="s">
        <v>636</v>
      </c>
      <c r="C47" s="6" t="s">
        <v>397</v>
      </c>
      <c r="D47" s="7">
        <v>3094</v>
      </c>
      <c r="E47" s="2" t="s">
        <v>1</v>
      </c>
      <c r="F47" s="2" t="s">
        <v>80</v>
      </c>
      <c r="G47" s="6">
        <v>20</v>
      </c>
      <c r="H47" s="6"/>
      <c r="I47" s="6"/>
      <c r="J47" s="6" t="s">
        <v>376</v>
      </c>
      <c r="K47" s="2" t="s">
        <v>3</v>
      </c>
      <c r="L47" s="6" t="s">
        <v>382</v>
      </c>
      <c r="M47" s="6"/>
      <c r="N47" s="6" t="s">
        <v>383</v>
      </c>
      <c r="P47" s="5" t="s">
        <v>398</v>
      </c>
      <c r="Q47" s="1" t="s">
        <v>627</v>
      </c>
      <c r="R47" s="5">
        <f t="shared" si="0"/>
        <v>4000</v>
      </c>
      <c r="S47" s="12">
        <f t="shared" si="1"/>
        <v>1292.8248222365871</v>
      </c>
    </row>
    <row r="48" spans="1:19" x14ac:dyDescent="0.25">
      <c r="A48" s="3" t="s">
        <v>164</v>
      </c>
      <c r="B48" s="6" t="s">
        <v>636</v>
      </c>
      <c r="C48" s="6" t="s">
        <v>399</v>
      </c>
      <c r="D48" s="7">
        <v>2854</v>
      </c>
      <c r="E48" s="2" t="s">
        <v>1</v>
      </c>
      <c r="F48" s="2" t="s">
        <v>80</v>
      </c>
      <c r="G48" s="6">
        <v>17</v>
      </c>
      <c r="H48" s="6"/>
      <c r="I48" s="6"/>
      <c r="J48" s="6" t="s">
        <v>385</v>
      </c>
      <c r="K48" s="2" t="s">
        <v>2</v>
      </c>
      <c r="L48" s="6" t="s">
        <v>386</v>
      </c>
      <c r="M48" s="6"/>
      <c r="N48" s="6" t="s">
        <v>366</v>
      </c>
      <c r="P48" s="5" t="s">
        <v>398</v>
      </c>
      <c r="Q48" s="1" t="s">
        <v>627</v>
      </c>
      <c r="R48" s="5">
        <f t="shared" si="0"/>
        <v>3400</v>
      </c>
      <c r="S48" s="12">
        <f t="shared" si="1"/>
        <v>1191.3104414856341</v>
      </c>
    </row>
    <row r="49" spans="1:19" x14ac:dyDescent="0.25">
      <c r="A49" s="3" t="s">
        <v>165</v>
      </c>
      <c r="B49" s="6" t="s">
        <v>636</v>
      </c>
      <c r="C49" s="6" t="s">
        <v>400</v>
      </c>
      <c r="D49" s="7">
        <v>1205</v>
      </c>
      <c r="E49" s="2" t="s">
        <v>1</v>
      </c>
      <c r="F49" s="2" t="s">
        <v>80</v>
      </c>
      <c r="G49" s="6">
        <v>8</v>
      </c>
      <c r="H49" s="6"/>
      <c r="I49" s="6"/>
      <c r="J49" s="6" t="s">
        <v>385</v>
      </c>
      <c r="K49" s="2" t="s">
        <v>2</v>
      </c>
      <c r="L49" s="6" t="s">
        <v>386</v>
      </c>
      <c r="M49" s="6"/>
      <c r="N49" s="6" t="s">
        <v>366</v>
      </c>
      <c r="P49" s="5" t="s">
        <v>398</v>
      </c>
      <c r="Q49" s="1" t="s">
        <v>627</v>
      </c>
      <c r="R49" s="5">
        <f t="shared" si="0"/>
        <v>1600</v>
      </c>
      <c r="S49" s="12">
        <f t="shared" si="1"/>
        <v>1327.8008298755187</v>
      </c>
    </row>
    <row r="50" spans="1:19" x14ac:dyDescent="0.25">
      <c r="A50" s="3" t="s">
        <v>166</v>
      </c>
      <c r="B50" s="6" t="s">
        <v>636</v>
      </c>
      <c r="C50" s="6" t="s">
        <v>401</v>
      </c>
      <c r="D50" s="7">
        <v>965</v>
      </c>
      <c r="E50" s="2" t="s">
        <v>1</v>
      </c>
      <c r="F50" s="2" t="s">
        <v>80</v>
      </c>
      <c r="G50" s="6">
        <v>7</v>
      </c>
      <c r="H50" s="6"/>
      <c r="I50" s="6"/>
      <c r="J50" s="6" t="s">
        <v>385</v>
      </c>
      <c r="K50" s="2" t="s">
        <v>2</v>
      </c>
      <c r="L50" s="6" t="s">
        <v>386</v>
      </c>
      <c r="M50" s="6"/>
      <c r="N50" s="6" t="s">
        <v>366</v>
      </c>
      <c r="P50" s="5" t="s">
        <v>398</v>
      </c>
      <c r="Q50" s="1" t="s">
        <v>627</v>
      </c>
      <c r="R50" s="5">
        <f t="shared" si="0"/>
        <v>1400</v>
      </c>
      <c r="S50" s="12">
        <f t="shared" si="1"/>
        <v>1450.777202072539</v>
      </c>
    </row>
    <row r="51" spans="1:19" x14ac:dyDescent="0.25">
      <c r="A51" s="3" t="s">
        <v>167</v>
      </c>
      <c r="B51" s="6" t="s">
        <v>636</v>
      </c>
      <c r="C51" s="6" t="s">
        <v>402</v>
      </c>
      <c r="D51" s="7">
        <v>889</v>
      </c>
      <c r="E51" s="2" t="s">
        <v>1</v>
      </c>
      <c r="F51" s="2" t="s">
        <v>80</v>
      </c>
      <c r="G51" s="6">
        <v>6</v>
      </c>
      <c r="H51" s="6"/>
      <c r="I51" s="6"/>
      <c r="J51" s="6" t="s">
        <v>385</v>
      </c>
      <c r="K51" s="2" t="s">
        <v>2</v>
      </c>
      <c r="L51" s="6" t="s">
        <v>386</v>
      </c>
      <c r="M51" s="6"/>
      <c r="N51" s="6" t="s">
        <v>366</v>
      </c>
      <c r="P51" s="5" t="s">
        <v>398</v>
      </c>
      <c r="Q51" s="1" t="s">
        <v>627</v>
      </c>
      <c r="R51" s="5">
        <f t="shared" si="0"/>
        <v>1200</v>
      </c>
      <c r="S51" s="12">
        <f t="shared" si="1"/>
        <v>1349.8312710911136</v>
      </c>
    </row>
    <row r="52" spans="1:19" ht="18.75" x14ac:dyDescent="0.4">
      <c r="A52" s="3" t="s">
        <v>168</v>
      </c>
      <c r="B52" s="6" t="s">
        <v>642</v>
      </c>
      <c r="C52" s="6" t="s">
        <v>403</v>
      </c>
      <c r="D52" s="7">
        <v>2080</v>
      </c>
      <c r="E52" s="2" t="s">
        <v>36</v>
      </c>
      <c r="F52" s="2" t="s">
        <v>81</v>
      </c>
      <c r="G52" s="6"/>
      <c r="H52" s="6">
        <v>8</v>
      </c>
      <c r="I52" s="6"/>
      <c r="J52" s="6" t="s">
        <v>404</v>
      </c>
      <c r="K52" s="2" t="s">
        <v>56</v>
      </c>
      <c r="L52" s="6" t="s">
        <v>405</v>
      </c>
      <c r="M52" s="6"/>
      <c r="N52" s="6" t="s">
        <v>406</v>
      </c>
      <c r="P52" s="1" t="s">
        <v>624</v>
      </c>
      <c r="Q52" s="1" t="s">
        <v>628</v>
      </c>
      <c r="R52" s="5">
        <f t="shared" si="0"/>
        <v>2000</v>
      </c>
      <c r="S52" s="12">
        <f t="shared" si="1"/>
        <v>961.53846153846155</v>
      </c>
    </row>
    <row r="53" spans="1:19" ht="18.75" x14ac:dyDescent="0.4">
      <c r="A53" s="3" t="s">
        <v>169</v>
      </c>
      <c r="B53" s="6" t="s">
        <v>642</v>
      </c>
      <c r="C53" s="6" t="s">
        <v>407</v>
      </c>
      <c r="D53" s="7">
        <v>5508</v>
      </c>
      <c r="E53" s="2" t="s">
        <v>36</v>
      </c>
      <c r="F53" s="2" t="s">
        <v>81</v>
      </c>
      <c r="G53" s="6"/>
      <c r="H53" s="6">
        <v>13</v>
      </c>
      <c r="I53" s="6"/>
      <c r="J53" s="6" t="s">
        <v>408</v>
      </c>
      <c r="K53" s="2" t="s">
        <v>409</v>
      </c>
      <c r="L53" s="6" t="s">
        <v>410</v>
      </c>
      <c r="M53" s="6" t="s">
        <v>411</v>
      </c>
      <c r="N53" s="6" t="s">
        <v>406</v>
      </c>
      <c r="P53" s="1" t="s">
        <v>624</v>
      </c>
      <c r="Q53" s="1" t="s">
        <v>628</v>
      </c>
      <c r="R53" s="5">
        <f t="shared" si="0"/>
        <v>3250</v>
      </c>
      <c r="S53" s="12">
        <f t="shared" si="1"/>
        <v>590.0508351488744</v>
      </c>
    </row>
    <row r="54" spans="1:19" ht="18.75" x14ac:dyDescent="0.4">
      <c r="A54" s="3" t="s">
        <v>170</v>
      </c>
      <c r="B54" s="6" t="s">
        <v>642</v>
      </c>
      <c r="C54" s="6" t="s">
        <v>412</v>
      </c>
      <c r="D54" s="7">
        <v>1575</v>
      </c>
      <c r="E54" s="2" t="s">
        <v>36</v>
      </c>
      <c r="F54" s="2" t="s">
        <v>81</v>
      </c>
      <c r="G54" s="6"/>
      <c r="H54" s="6">
        <v>4</v>
      </c>
      <c r="I54" s="6"/>
      <c r="J54" s="6" t="s">
        <v>413</v>
      </c>
      <c r="K54" s="2" t="s">
        <v>171</v>
      </c>
      <c r="L54" s="6" t="s">
        <v>382</v>
      </c>
      <c r="M54" s="6"/>
      <c r="N54" s="6" t="s">
        <v>406</v>
      </c>
      <c r="P54" s="1" t="s">
        <v>624</v>
      </c>
      <c r="Q54" s="1" t="s">
        <v>628</v>
      </c>
      <c r="R54" s="5">
        <f t="shared" si="0"/>
        <v>1000</v>
      </c>
      <c r="S54" s="12">
        <f t="shared" si="1"/>
        <v>634.92063492063494</v>
      </c>
    </row>
    <row r="55" spans="1:19" ht="18.75" x14ac:dyDescent="0.4">
      <c r="A55" s="3" t="s">
        <v>172</v>
      </c>
      <c r="B55" s="6" t="s">
        <v>642</v>
      </c>
      <c r="C55" s="6" t="s">
        <v>414</v>
      </c>
      <c r="D55" s="7">
        <v>5888</v>
      </c>
      <c r="E55" s="2" t="s">
        <v>44</v>
      </c>
      <c r="F55" s="2" t="s">
        <v>82</v>
      </c>
      <c r="G55" s="6"/>
      <c r="H55" s="6">
        <v>14</v>
      </c>
      <c r="I55" s="6"/>
      <c r="J55" s="6" t="s">
        <v>404</v>
      </c>
      <c r="K55" s="2" t="s">
        <v>57</v>
      </c>
      <c r="L55" s="6" t="s">
        <v>405</v>
      </c>
      <c r="M55" s="6"/>
      <c r="N55" s="6" t="s">
        <v>406</v>
      </c>
      <c r="P55" s="1" t="s">
        <v>624</v>
      </c>
      <c r="Q55" s="1" t="s">
        <v>628</v>
      </c>
      <c r="R55" s="5">
        <f t="shared" si="0"/>
        <v>3500</v>
      </c>
      <c r="S55" s="12">
        <f t="shared" si="1"/>
        <v>594.42934782608688</v>
      </c>
    </row>
    <row r="56" spans="1:19" ht="18.75" x14ac:dyDescent="0.4">
      <c r="A56" s="3" t="s">
        <v>173</v>
      </c>
      <c r="B56" s="6" t="s">
        <v>642</v>
      </c>
      <c r="C56" s="6" t="s">
        <v>415</v>
      </c>
      <c r="D56" s="7">
        <v>3383</v>
      </c>
      <c r="E56" s="2" t="s">
        <v>44</v>
      </c>
      <c r="F56" s="2" t="s">
        <v>82</v>
      </c>
      <c r="G56" s="6"/>
      <c r="H56" s="6">
        <v>14</v>
      </c>
      <c r="I56" s="6"/>
      <c r="J56" s="6" t="s">
        <v>404</v>
      </c>
      <c r="K56" s="2" t="s">
        <v>416</v>
      </c>
      <c r="L56" s="6" t="s">
        <v>405</v>
      </c>
      <c r="M56" s="6" t="s">
        <v>417</v>
      </c>
      <c r="N56" s="6" t="s">
        <v>406</v>
      </c>
      <c r="P56" s="1" t="s">
        <v>624</v>
      </c>
      <c r="Q56" s="1" t="s">
        <v>628</v>
      </c>
      <c r="R56" s="5">
        <f t="shared" si="0"/>
        <v>3500</v>
      </c>
      <c r="S56" s="12">
        <f t="shared" si="1"/>
        <v>1034.5846881466155</v>
      </c>
    </row>
    <row r="57" spans="1:19" ht="18.75" x14ac:dyDescent="0.4">
      <c r="A57" s="3" t="s">
        <v>174</v>
      </c>
      <c r="B57" s="6" t="s">
        <v>642</v>
      </c>
      <c r="C57" s="6" t="s">
        <v>418</v>
      </c>
      <c r="D57" s="7">
        <v>5856</v>
      </c>
      <c r="E57" s="2" t="s">
        <v>45</v>
      </c>
      <c r="F57" s="2" t="s">
        <v>83</v>
      </c>
      <c r="G57" s="6"/>
      <c r="H57" s="6">
        <v>13</v>
      </c>
      <c r="I57" s="6"/>
      <c r="J57" s="6" t="s">
        <v>404</v>
      </c>
      <c r="K57" s="2" t="s">
        <v>59</v>
      </c>
      <c r="L57" s="6" t="s">
        <v>405</v>
      </c>
      <c r="M57" s="6"/>
      <c r="N57" s="6" t="s">
        <v>406</v>
      </c>
      <c r="P57" s="1" t="s">
        <v>624</v>
      </c>
      <c r="Q57" s="1" t="s">
        <v>628</v>
      </c>
      <c r="R57" s="5">
        <f t="shared" si="0"/>
        <v>3250</v>
      </c>
      <c r="S57" s="12">
        <f t="shared" si="1"/>
        <v>554.98633879781426</v>
      </c>
    </row>
    <row r="58" spans="1:19" ht="18.75" x14ac:dyDescent="0.4">
      <c r="A58" s="3" t="s">
        <v>175</v>
      </c>
      <c r="B58" s="6" t="s">
        <v>642</v>
      </c>
      <c r="C58" s="6" t="s">
        <v>419</v>
      </c>
      <c r="D58" s="7">
        <v>5586</v>
      </c>
      <c r="E58" s="2" t="s">
        <v>46</v>
      </c>
      <c r="F58" s="2" t="s">
        <v>84</v>
      </c>
      <c r="G58" s="6"/>
      <c r="H58" s="6">
        <v>24</v>
      </c>
      <c r="I58" s="6"/>
      <c r="J58" s="6" t="s">
        <v>404</v>
      </c>
      <c r="K58" s="2" t="s">
        <v>420</v>
      </c>
      <c r="L58" s="6" t="s">
        <v>405</v>
      </c>
      <c r="M58" s="6" t="s">
        <v>421</v>
      </c>
      <c r="N58" s="6" t="s">
        <v>406</v>
      </c>
      <c r="P58" s="1" t="s">
        <v>624</v>
      </c>
      <c r="Q58" s="1" t="s">
        <v>628</v>
      </c>
      <c r="R58" s="5">
        <f t="shared" si="0"/>
        <v>6000</v>
      </c>
      <c r="S58" s="12">
        <f t="shared" si="1"/>
        <v>1074.1138560687434</v>
      </c>
    </row>
    <row r="59" spans="1:19" ht="18.75" x14ac:dyDescent="0.4">
      <c r="A59" s="3" t="s">
        <v>176</v>
      </c>
      <c r="B59" s="6" t="s">
        <v>642</v>
      </c>
      <c r="C59" s="6" t="s">
        <v>422</v>
      </c>
      <c r="D59" s="7">
        <v>2004</v>
      </c>
      <c r="E59" s="2" t="s">
        <v>36</v>
      </c>
      <c r="F59" s="2" t="s">
        <v>81</v>
      </c>
      <c r="G59" s="6"/>
      <c r="H59" s="6">
        <v>5</v>
      </c>
      <c r="I59" s="6"/>
      <c r="J59" s="6" t="s">
        <v>404</v>
      </c>
      <c r="K59" s="2"/>
      <c r="L59" s="6" t="s">
        <v>405</v>
      </c>
      <c r="M59" s="6"/>
      <c r="N59" s="6" t="s">
        <v>406</v>
      </c>
      <c r="P59" s="1" t="s">
        <v>624</v>
      </c>
      <c r="Q59" s="1" t="s">
        <v>628</v>
      </c>
      <c r="R59" s="5">
        <f t="shared" si="0"/>
        <v>1250</v>
      </c>
      <c r="S59" s="12">
        <f t="shared" si="1"/>
        <v>623.75249500998007</v>
      </c>
    </row>
    <row r="60" spans="1:19" ht="18.75" x14ac:dyDescent="0.4">
      <c r="A60" s="3" t="s">
        <v>177</v>
      </c>
      <c r="B60" s="6" t="s">
        <v>642</v>
      </c>
      <c r="C60" s="6" t="s">
        <v>423</v>
      </c>
      <c r="D60" s="7">
        <v>6079</v>
      </c>
      <c r="E60" s="2" t="s">
        <v>36</v>
      </c>
      <c r="F60" s="2" t="s">
        <v>81</v>
      </c>
      <c r="G60" s="6"/>
      <c r="H60" s="6">
        <v>19</v>
      </c>
      <c r="I60" s="6"/>
      <c r="J60" s="6" t="s">
        <v>404</v>
      </c>
      <c r="K60" s="2"/>
      <c r="L60" s="6" t="s">
        <v>405</v>
      </c>
      <c r="M60" s="6"/>
      <c r="N60" s="6" t="s">
        <v>406</v>
      </c>
      <c r="P60" s="1" t="s">
        <v>624</v>
      </c>
      <c r="Q60" s="1" t="s">
        <v>628</v>
      </c>
      <c r="R60" s="5">
        <f t="shared" si="0"/>
        <v>4750</v>
      </c>
      <c r="S60" s="12">
        <f t="shared" si="1"/>
        <v>781.37851620332287</v>
      </c>
    </row>
    <row r="61" spans="1:19" ht="18.75" x14ac:dyDescent="0.4">
      <c r="A61" s="3" t="s">
        <v>178</v>
      </c>
      <c r="B61" s="6" t="s">
        <v>642</v>
      </c>
      <c r="C61" s="6" t="s">
        <v>424</v>
      </c>
      <c r="D61" s="7">
        <v>6062</v>
      </c>
      <c r="E61" s="2" t="s">
        <v>45</v>
      </c>
      <c r="F61" s="2" t="s">
        <v>83</v>
      </c>
      <c r="G61" s="6"/>
      <c r="H61" s="6">
        <v>14</v>
      </c>
      <c r="I61" s="6"/>
      <c r="J61" s="6" t="s">
        <v>404</v>
      </c>
      <c r="K61" s="2" t="s">
        <v>59</v>
      </c>
      <c r="L61" s="6" t="s">
        <v>405</v>
      </c>
      <c r="M61" s="6"/>
      <c r="N61" s="6" t="s">
        <v>406</v>
      </c>
      <c r="P61" s="1" t="s">
        <v>624</v>
      </c>
      <c r="Q61" s="1" t="s">
        <v>628</v>
      </c>
      <c r="R61" s="5">
        <f t="shared" si="0"/>
        <v>3500</v>
      </c>
      <c r="S61" s="12">
        <f t="shared" si="1"/>
        <v>577.36720554272517</v>
      </c>
    </row>
    <row r="62" spans="1:19" ht="18.75" x14ac:dyDescent="0.4">
      <c r="A62" s="3" t="s">
        <v>179</v>
      </c>
      <c r="B62" s="6" t="s">
        <v>642</v>
      </c>
      <c r="C62" s="6" t="s">
        <v>425</v>
      </c>
      <c r="D62" s="7">
        <v>5596</v>
      </c>
      <c r="E62" s="2" t="s">
        <v>44</v>
      </c>
      <c r="F62" s="2" t="s">
        <v>82</v>
      </c>
      <c r="G62" s="6"/>
      <c r="H62" s="6">
        <v>10</v>
      </c>
      <c r="I62" s="6"/>
      <c r="J62" s="6" t="s">
        <v>404</v>
      </c>
      <c r="K62" s="2" t="s">
        <v>426</v>
      </c>
      <c r="L62" s="6" t="s">
        <v>405</v>
      </c>
      <c r="M62" s="6"/>
      <c r="N62" s="6" t="s">
        <v>406</v>
      </c>
      <c r="P62" s="1" t="s">
        <v>624</v>
      </c>
      <c r="Q62" s="1" t="s">
        <v>628</v>
      </c>
      <c r="R62" s="5">
        <f t="shared" si="0"/>
        <v>2500</v>
      </c>
      <c r="S62" s="12">
        <f t="shared" si="1"/>
        <v>446.74767691208007</v>
      </c>
    </row>
    <row r="63" spans="1:19" ht="18.75" x14ac:dyDescent="0.4">
      <c r="A63" s="3" t="s">
        <v>180</v>
      </c>
      <c r="B63" s="6" t="s">
        <v>642</v>
      </c>
      <c r="C63" s="6" t="s">
        <v>427</v>
      </c>
      <c r="D63" s="7">
        <v>6348</v>
      </c>
      <c r="E63" s="2" t="s">
        <v>44</v>
      </c>
      <c r="F63" s="2" t="s">
        <v>82</v>
      </c>
      <c r="G63" s="6"/>
      <c r="H63" s="6">
        <v>11</v>
      </c>
      <c r="I63" s="6"/>
      <c r="J63" s="6" t="s">
        <v>404</v>
      </c>
      <c r="K63" s="2" t="s">
        <v>60</v>
      </c>
      <c r="L63" s="6" t="s">
        <v>405</v>
      </c>
      <c r="M63" s="6"/>
      <c r="N63" s="6" t="s">
        <v>406</v>
      </c>
      <c r="P63" s="1" t="s">
        <v>624</v>
      </c>
      <c r="Q63" s="1" t="s">
        <v>628</v>
      </c>
      <c r="R63" s="5">
        <f t="shared" si="0"/>
        <v>2750</v>
      </c>
      <c r="S63" s="12">
        <f t="shared" si="1"/>
        <v>433.20730938878387</v>
      </c>
    </row>
    <row r="64" spans="1:19" ht="18.75" x14ac:dyDescent="0.4">
      <c r="A64" s="3" t="s">
        <v>181</v>
      </c>
      <c r="B64" s="6" t="s">
        <v>642</v>
      </c>
      <c r="C64" s="6" t="s">
        <v>428</v>
      </c>
      <c r="D64" s="7">
        <v>2887</v>
      </c>
      <c r="E64" s="2" t="s">
        <v>47</v>
      </c>
      <c r="F64" s="2" t="s">
        <v>71</v>
      </c>
      <c r="G64" s="6"/>
      <c r="H64" s="6">
        <v>13</v>
      </c>
      <c r="I64" s="6"/>
      <c r="J64" s="6" t="s">
        <v>404</v>
      </c>
      <c r="K64" s="2" t="s">
        <v>67</v>
      </c>
      <c r="L64" s="6" t="s">
        <v>405</v>
      </c>
      <c r="M64" s="6"/>
      <c r="N64" s="6" t="s">
        <v>406</v>
      </c>
      <c r="P64" s="1" t="s">
        <v>624</v>
      </c>
      <c r="Q64" s="1" t="s">
        <v>628</v>
      </c>
      <c r="R64" s="5">
        <f t="shared" si="0"/>
        <v>3250</v>
      </c>
      <c r="S64" s="12">
        <f t="shared" si="1"/>
        <v>1125.7360581918947</v>
      </c>
    </row>
    <row r="65" spans="1:19" ht="18.75" x14ac:dyDescent="0.4">
      <c r="A65" s="3" t="s">
        <v>182</v>
      </c>
      <c r="B65" s="6" t="s">
        <v>642</v>
      </c>
      <c r="C65" s="6" t="s">
        <v>429</v>
      </c>
      <c r="D65" s="7">
        <v>2136</v>
      </c>
      <c r="E65" s="2" t="s">
        <v>47</v>
      </c>
      <c r="F65" s="2" t="s">
        <v>71</v>
      </c>
      <c r="G65" s="6"/>
      <c r="H65" s="6">
        <v>10</v>
      </c>
      <c r="I65" s="6"/>
      <c r="J65" s="6" t="s">
        <v>404</v>
      </c>
      <c r="K65" s="2" t="s">
        <v>67</v>
      </c>
      <c r="L65" s="6" t="s">
        <v>405</v>
      </c>
      <c r="M65" s="6"/>
      <c r="N65" s="6" t="s">
        <v>406</v>
      </c>
      <c r="P65" s="1" t="s">
        <v>624</v>
      </c>
      <c r="Q65" s="1" t="s">
        <v>628</v>
      </c>
      <c r="R65" s="5">
        <f t="shared" si="0"/>
        <v>2500</v>
      </c>
      <c r="S65" s="12">
        <f t="shared" si="1"/>
        <v>1170.4119850187267</v>
      </c>
    </row>
    <row r="66" spans="1:19" ht="18.75" x14ac:dyDescent="0.4">
      <c r="A66" s="3" t="s">
        <v>183</v>
      </c>
      <c r="B66" s="6" t="s">
        <v>642</v>
      </c>
      <c r="C66" s="6" t="s">
        <v>430</v>
      </c>
      <c r="D66" s="7">
        <v>2386</v>
      </c>
      <c r="E66" s="2" t="s">
        <v>47</v>
      </c>
      <c r="F66" s="2" t="s">
        <v>71</v>
      </c>
      <c r="G66" s="6"/>
      <c r="H66" s="6">
        <v>10</v>
      </c>
      <c r="I66" s="6"/>
      <c r="J66" s="6" t="s">
        <v>404</v>
      </c>
      <c r="K66" s="2" t="s">
        <v>67</v>
      </c>
      <c r="L66" s="6" t="s">
        <v>405</v>
      </c>
      <c r="M66" s="6"/>
      <c r="N66" s="6" t="s">
        <v>406</v>
      </c>
      <c r="P66" s="1" t="s">
        <v>624</v>
      </c>
      <c r="Q66" s="1" t="s">
        <v>628</v>
      </c>
      <c r="R66" s="5">
        <f t="shared" si="0"/>
        <v>2500</v>
      </c>
      <c r="S66" s="12">
        <f t="shared" si="1"/>
        <v>1047.7787091366304</v>
      </c>
    </row>
    <row r="67" spans="1:19" ht="18.75" x14ac:dyDescent="0.4">
      <c r="A67" s="3" t="s">
        <v>184</v>
      </c>
      <c r="B67" s="6" t="s">
        <v>642</v>
      </c>
      <c r="C67" s="6" t="s">
        <v>431</v>
      </c>
      <c r="D67" s="7">
        <v>3157</v>
      </c>
      <c r="E67" s="2" t="s">
        <v>47</v>
      </c>
      <c r="F67" s="2" t="s">
        <v>71</v>
      </c>
      <c r="G67" s="6"/>
      <c r="H67" s="6">
        <v>13</v>
      </c>
      <c r="I67" s="6"/>
      <c r="J67" s="6" t="s">
        <v>404</v>
      </c>
      <c r="K67" s="2" t="s">
        <v>432</v>
      </c>
      <c r="L67" s="6" t="s">
        <v>405</v>
      </c>
      <c r="M67" s="6" t="s">
        <v>433</v>
      </c>
      <c r="N67" s="6" t="s">
        <v>406</v>
      </c>
      <c r="P67" s="1" t="s">
        <v>624</v>
      </c>
      <c r="Q67" s="1" t="s">
        <v>628</v>
      </c>
      <c r="R67" s="5">
        <f t="shared" ref="R67:R130" si="2">SUM(200*$G67+250*$H67+300*$I67)</f>
        <v>3250</v>
      </c>
      <c r="S67" s="12">
        <f t="shared" ref="S67:S130" si="3">R67/D67*1000</f>
        <v>1029.4583465315172</v>
      </c>
    </row>
    <row r="68" spans="1:19" ht="18.75" x14ac:dyDescent="0.4">
      <c r="A68" s="3" t="s">
        <v>185</v>
      </c>
      <c r="B68" s="6" t="s">
        <v>642</v>
      </c>
      <c r="C68" s="6" t="s">
        <v>434</v>
      </c>
      <c r="D68" s="7">
        <v>3397</v>
      </c>
      <c r="E68" s="2" t="s">
        <v>47</v>
      </c>
      <c r="F68" s="2" t="s">
        <v>71</v>
      </c>
      <c r="G68" s="6"/>
      <c r="H68" s="6">
        <v>13</v>
      </c>
      <c r="I68" s="6"/>
      <c r="J68" s="6" t="s">
        <v>404</v>
      </c>
      <c r="K68" s="2" t="s">
        <v>68</v>
      </c>
      <c r="L68" s="6" t="s">
        <v>405</v>
      </c>
      <c r="M68" s="6"/>
      <c r="N68" s="6" t="s">
        <v>406</v>
      </c>
      <c r="P68" s="1" t="s">
        <v>624</v>
      </c>
      <c r="Q68" s="1" t="s">
        <v>628</v>
      </c>
      <c r="R68" s="5">
        <f t="shared" si="2"/>
        <v>3250</v>
      </c>
      <c r="S68" s="12">
        <f t="shared" si="3"/>
        <v>956.72652340300272</v>
      </c>
    </row>
    <row r="69" spans="1:19" ht="18.75" x14ac:dyDescent="0.4">
      <c r="A69" s="3" t="s">
        <v>186</v>
      </c>
      <c r="B69" s="6" t="s">
        <v>642</v>
      </c>
      <c r="C69" s="6" t="s">
        <v>435</v>
      </c>
      <c r="D69" s="7">
        <v>7603</v>
      </c>
      <c r="E69" s="2" t="s">
        <v>48</v>
      </c>
      <c r="F69" s="2" t="s">
        <v>74</v>
      </c>
      <c r="G69" s="6"/>
      <c r="H69" s="6">
        <v>36</v>
      </c>
      <c r="I69" s="6"/>
      <c r="J69" s="6" t="s">
        <v>404</v>
      </c>
      <c r="K69" s="2" t="s">
        <v>58</v>
      </c>
      <c r="L69" s="6" t="s">
        <v>405</v>
      </c>
      <c r="M69" s="6" t="s">
        <v>436</v>
      </c>
      <c r="N69" s="6" t="s">
        <v>406</v>
      </c>
      <c r="P69" s="1" t="s">
        <v>624</v>
      </c>
      <c r="Q69" s="1" t="s">
        <v>628</v>
      </c>
      <c r="R69" s="5">
        <f t="shared" si="2"/>
        <v>9000</v>
      </c>
      <c r="S69" s="12">
        <f t="shared" si="3"/>
        <v>1183.7432592397738</v>
      </c>
    </row>
    <row r="70" spans="1:19" ht="18.75" x14ac:dyDescent="0.4">
      <c r="A70" s="3" t="s">
        <v>187</v>
      </c>
      <c r="B70" s="6" t="s">
        <v>642</v>
      </c>
      <c r="C70" s="6" t="s">
        <v>437</v>
      </c>
      <c r="D70" s="7">
        <v>4046</v>
      </c>
      <c r="E70" s="2" t="s">
        <v>47</v>
      </c>
      <c r="F70" s="2" t="s">
        <v>71</v>
      </c>
      <c r="G70" s="6"/>
      <c r="H70" s="6">
        <v>25</v>
      </c>
      <c r="I70" s="6"/>
      <c r="J70" s="6" t="s">
        <v>404</v>
      </c>
      <c r="K70" s="2" t="s">
        <v>438</v>
      </c>
      <c r="L70" s="6" t="s">
        <v>405</v>
      </c>
      <c r="M70" s="6" t="s">
        <v>439</v>
      </c>
      <c r="N70" s="6" t="s">
        <v>406</v>
      </c>
      <c r="P70" s="1" t="s">
        <v>624</v>
      </c>
      <c r="Q70" s="1" t="s">
        <v>628</v>
      </c>
      <c r="R70" s="5">
        <f t="shared" si="2"/>
        <v>6250</v>
      </c>
      <c r="S70" s="12">
        <f t="shared" si="3"/>
        <v>1544.7355412753336</v>
      </c>
    </row>
    <row r="71" spans="1:19" ht="18.75" x14ac:dyDescent="0.4">
      <c r="A71" s="3" t="s">
        <v>188</v>
      </c>
      <c r="B71" s="6" t="s">
        <v>642</v>
      </c>
      <c r="C71" s="6" t="s">
        <v>440</v>
      </c>
      <c r="D71" s="7">
        <v>5715</v>
      </c>
      <c r="E71" s="2" t="s">
        <v>43</v>
      </c>
      <c r="F71" s="2" t="s">
        <v>70</v>
      </c>
      <c r="G71" s="6"/>
      <c r="H71" s="6">
        <v>18</v>
      </c>
      <c r="I71" s="6"/>
      <c r="J71" s="6" t="s">
        <v>404</v>
      </c>
      <c r="K71" s="2" t="s">
        <v>441</v>
      </c>
      <c r="L71" s="6" t="s">
        <v>405</v>
      </c>
      <c r="M71" s="6" t="s">
        <v>442</v>
      </c>
      <c r="N71" s="6" t="s">
        <v>406</v>
      </c>
      <c r="P71" s="1" t="s">
        <v>624</v>
      </c>
      <c r="Q71" s="1" t="s">
        <v>628</v>
      </c>
      <c r="R71" s="5">
        <f t="shared" si="2"/>
        <v>4500</v>
      </c>
      <c r="S71" s="12">
        <f t="shared" si="3"/>
        <v>787.40157480314963</v>
      </c>
    </row>
    <row r="72" spans="1:19" ht="18.75" x14ac:dyDescent="0.4">
      <c r="A72" s="3" t="s">
        <v>189</v>
      </c>
      <c r="B72" s="6" t="s">
        <v>642</v>
      </c>
      <c r="C72" s="6" t="s">
        <v>443</v>
      </c>
      <c r="D72" s="7">
        <v>5766</v>
      </c>
      <c r="E72" s="2" t="s">
        <v>43</v>
      </c>
      <c r="F72" s="2" t="s">
        <v>70</v>
      </c>
      <c r="G72" s="6"/>
      <c r="H72" s="6">
        <v>24</v>
      </c>
      <c r="I72" s="6"/>
      <c r="J72" s="6" t="s">
        <v>404</v>
      </c>
      <c r="K72" s="2" t="s">
        <v>444</v>
      </c>
      <c r="L72" s="6" t="s">
        <v>405</v>
      </c>
      <c r="M72" s="6" t="s">
        <v>445</v>
      </c>
      <c r="N72" s="6" t="s">
        <v>406</v>
      </c>
      <c r="P72" s="1" t="s">
        <v>624</v>
      </c>
      <c r="Q72" s="1" t="s">
        <v>628</v>
      </c>
      <c r="R72" s="5">
        <f t="shared" si="2"/>
        <v>6000</v>
      </c>
      <c r="S72" s="12">
        <f t="shared" si="3"/>
        <v>1040.5827263267429</v>
      </c>
    </row>
    <row r="73" spans="1:19" ht="18.75" x14ac:dyDescent="0.4">
      <c r="A73" s="3" t="s">
        <v>190</v>
      </c>
      <c r="B73" s="6" t="s">
        <v>642</v>
      </c>
      <c r="C73" s="6" t="s">
        <v>446</v>
      </c>
      <c r="D73" s="7">
        <v>3157</v>
      </c>
      <c r="E73" s="2" t="s">
        <v>42</v>
      </c>
      <c r="F73" s="2" t="s">
        <v>69</v>
      </c>
      <c r="G73" s="6"/>
      <c r="H73" s="6">
        <v>9</v>
      </c>
      <c r="I73" s="6"/>
      <c r="J73" s="6" t="s">
        <v>404</v>
      </c>
      <c r="K73" s="2" t="s">
        <v>62</v>
      </c>
      <c r="L73" s="6" t="s">
        <v>405</v>
      </c>
      <c r="M73" s="6"/>
      <c r="N73" s="6" t="s">
        <v>406</v>
      </c>
      <c r="P73" s="1" t="s">
        <v>624</v>
      </c>
      <c r="Q73" s="1" t="s">
        <v>628</v>
      </c>
      <c r="R73" s="5">
        <f t="shared" si="2"/>
        <v>2250</v>
      </c>
      <c r="S73" s="12">
        <f t="shared" si="3"/>
        <v>712.7019322141274</v>
      </c>
    </row>
    <row r="74" spans="1:19" ht="18.75" x14ac:dyDescent="0.4">
      <c r="A74" s="3" t="s">
        <v>191</v>
      </c>
      <c r="B74" s="6" t="s">
        <v>642</v>
      </c>
      <c r="C74" s="6" t="s">
        <v>447</v>
      </c>
      <c r="D74" s="7">
        <v>3318</v>
      </c>
      <c r="E74" s="2" t="s">
        <v>42</v>
      </c>
      <c r="F74" s="2" t="s">
        <v>69</v>
      </c>
      <c r="G74" s="6"/>
      <c r="H74" s="6">
        <v>10</v>
      </c>
      <c r="I74" s="6"/>
      <c r="J74" s="6" t="s">
        <v>404</v>
      </c>
      <c r="K74" s="2" t="s">
        <v>448</v>
      </c>
      <c r="L74" s="6" t="s">
        <v>405</v>
      </c>
      <c r="M74" s="6" t="s">
        <v>449</v>
      </c>
      <c r="N74" s="6" t="s">
        <v>406</v>
      </c>
      <c r="P74" s="1" t="s">
        <v>624</v>
      </c>
      <c r="Q74" s="1" t="s">
        <v>628</v>
      </c>
      <c r="R74" s="5">
        <f t="shared" si="2"/>
        <v>2500</v>
      </c>
      <c r="S74" s="12">
        <f t="shared" si="3"/>
        <v>753.46594333936105</v>
      </c>
    </row>
    <row r="75" spans="1:19" ht="18.75" x14ac:dyDescent="0.4">
      <c r="A75" s="3" t="s">
        <v>192</v>
      </c>
      <c r="B75" s="6" t="s">
        <v>642</v>
      </c>
      <c r="C75" s="6" t="s">
        <v>450</v>
      </c>
      <c r="D75" s="7">
        <v>3481</v>
      </c>
      <c r="E75" s="2" t="s">
        <v>42</v>
      </c>
      <c r="F75" s="2" t="s">
        <v>69</v>
      </c>
      <c r="G75" s="6"/>
      <c r="H75" s="6">
        <v>12</v>
      </c>
      <c r="I75" s="6"/>
      <c r="J75" s="6" t="s">
        <v>404</v>
      </c>
      <c r="K75" s="2" t="s">
        <v>61</v>
      </c>
      <c r="L75" s="6" t="s">
        <v>405</v>
      </c>
      <c r="M75" s="6"/>
      <c r="N75" s="6" t="s">
        <v>406</v>
      </c>
      <c r="P75" s="1" t="s">
        <v>624</v>
      </c>
      <c r="Q75" s="1" t="s">
        <v>628</v>
      </c>
      <c r="R75" s="5">
        <f t="shared" si="2"/>
        <v>3000</v>
      </c>
      <c r="S75" s="12">
        <f t="shared" si="3"/>
        <v>861.82131571387538</v>
      </c>
    </row>
    <row r="76" spans="1:19" ht="18.75" x14ac:dyDescent="0.4">
      <c r="A76" s="3" t="s">
        <v>193</v>
      </c>
      <c r="B76" s="6" t="s">
        <v>642</v>
      </c>
      <c r="C76" s="6" t="s">
        <v>451</v>
      </c>
      <c r="D76" s="7">
        <v>4384</v>
      </c>
      <c r="E76" s="2" t="s">
        <v>42</v>
      </c>
      <c r="F76" s="2" t="s">
        <v>69</v>
      </c>
      <c r="G76" s="6"/>
      <c r="H76" s="6">
        <v>12</v>
      </c>
      <c r="I76" s="6"/>
      <c r="J76" s="6" t="s">
        <v>404</v>
      </c>
      <c r="K76" s="2"/>
      <c r="L76" s="6" t="s">
        <v>405</v>
      </c>
      <c r="M76" s="6"/>
      <c r="N76" s="6" t="s">
        <v>406</v>
      </c>
      <c r="P76" s="1" t="s">
        <v>624</v>
      </c>
      <c r="Q76" s="1" t="s">
        <v>628</v>
      </c>
      <c r="R76" s="5">
        <f t="shared" si="2"/>
        <v>3000</v>
      </c>
      <c r="S76" s="12">
        <f t="shared" si="3"/>
        <v>684.30656934306569</v>
      </c>
    </row>
    <row r="77" spans="1:19" ht="18.75" x14ac:dyDescent="0.4">
      <c r="A77" s="3" t="s">
        <v>194</v>
      </c>
      <c r="B77" s="6" t="s">
        <v>642</v>
      </c>
      <c r="C77" s="6" t="s">
        <v>452</v>
      </c>
      <c r="D77" s="7">
        <v>5846</v>
      </c>
      <c r="E77" s="2" t="s">
        <v>42</v>
      </c>
      <c r="F77" s="2" t="s">
        <v>69</v>
      </c>
      <c r="G77" s="6"/>
      <c r="H77" s="6">
        <v>16</v>
      </c>
      <c r="I77" s="6"/>
      <c r="J77" s="6" t="s">
        <v>404</v>
      </c>
      <c r="K77" s="2" t="s">
        <v>61</v>
      </c>
      <c r="L77" s="6" t="s">
        <v>405</v>
      </c>
      <c r="M77" s="6"/>
      <c r="N77" s="6" t="s">
        <v>406</v>
      </c>
      <c r="P77" s="1" t="s">
        <v>624</v>
      </c>
      <c r="Q77" s="1" t="s">
        <v>628</v>
      </c>
      <c r="R77" s="5">
        <f t="shared" si="2"/>
        <v>4000</v>
      </c>
      <c r="S77" s="12">
        <f t="shared" si="3"/>
        <v>684.22853232979821</v>
      </c>
    </row>
    <row r="78" spans="1:19" ht="18.75" x14ac:dyDescent="0.4">
      <c r="A78" s="3" t="s">
        <v>195</v>
      </c>
      <c r="B78" s="6" t="s">
        <v>642</v>
      </c>
      <c r="C78" s="6" t="s">
        <v>453</v>
      </c>
      <c r="D78" s="7">
        <v>2706</v>
      </c>
      <c r="E78" s="2" t="s">
        <v>42</v>
      </c>
      <c r="F78" s="2" t="s">
        <v>69</v>
      </c>
      <c r="G78" s="6"/>
      <c r="H78" s="6">
        <v>4</v>
      </c>
      <c r="I78" s="6"/>
      <c r="J78" s="6" t="s">
        <v>404</v>
      </c>
      <c r="K78" s="2" t="s">
        <v>61</v>
      </c>
      <c r="L78" s="6" t="s">
        <v>405</v>
      </c>
      <c r="M78" s="6"/>
      <c r="N78" s="6" t="s">
        <v>406</v>
      </c>
      <c r="P78" s="1" t="s">
        <v>624</v>
      </c>
      <c r="Q78" s="1" t="s">
        <v>628</v>
      </c>
      <c r="R78" s="5">
        <f t="shared" si="2"/>
        <v>1000</v>
      </c>
      <c r="S78" s="12">
        <f t="shared" si="3"/>
        <v>369.54915003695493</v>
      </c>
    </row>
    <row r="79" spans="1:19" ht="18.75" x14ac:dyDescent="0.4">
      <c r="A79" s="3" t="s">
        <v>196</v>
      </c>
      <c r="B79" s="6" t="s">
        <v>642</v>
      </c>
      <c r="C79" s="6" t="s">
        <v>454</v>
      </c>
      <c r="D79" s="7">
        <v>2791</v>
      </c>
      <c r="E79" s="2" t="s">
        <v>47</v>
      </c>
      <c r="F79" s="2" t="s">
        <v>71</v>
      </c>
      <c r="G79" s="6"/>
      <c r="H79" s="6">
        <v>21</v>
      </c>
      <c r="I79" s="6"/>
      <c r="J79" s="6" t="s">
        <v>404</v>
      </c>
      <c r="K79" s="2" t="s">
        <v>455</v>
      </c>
      <c r="L79" s="6" t="s">
        <v>405</v>
      </c>
      <c r="M79" s="6" t="s">
        <v>456</v>
      </c>
      <c r="N79" s="6" t="s">
        <v>406</v>
      </c>
      <c r="P79" s="1" t="s">
        <v>624</v>
      </c>
      <c r="Q79" s="1" t="s">
        <v>628</v>
      </c>
      <c r="R79" s="5">
        <f t="shared" si="2"/>
        <v>5250</v>
      </c>
      <c r="S79" s="12">
        <f t="shared" si="3"/>
        <v>1881.0462199928343</v>
      </c>
    </row>
    <row r="80" spans="1:19" ht="18.75" x14ac:dyDescent="0.4">
      <c r="A80" s="3" t="s">
        <v>197</v>
      </c>
      <c r="B80" s="6" t="s">
        <v>642</v>
      </c>
      <c r="C80" s="6" t="s">
        <v>457</v>
      </c>
      <c r="D80" s="7">
        <v>9747</v>
      </c>
      <c r="E80" s="2" t="s">
        <v>47</v>
      </c>
      <c r="F80" s="2" t="s">
        <v>71</v>
      </c>
      <c r="G80" s="6"/>
      <c r="H80" s="6">
        <v>26</v>
      </c>
      <c r="I80" s="6"/>
      <c r="J80" s="6" t="s">
        <v>404</v>
      </c>
      <c r="K80" s="2" t="s">
        <v>65</v>
      </c>
      <c r="L80" s="6" t="s">
        <v>405</v>
      </c>
      <c r="M80" s="6"/>
      <c r="N80" s="6" t="s">
        <v>406</v>
      </c>
      <c r="P80" s="1" t="s">
        <v>624</v>
      </c>
      <c r="Q80" s="1" t="s">
        <v>628</v>
      </c>
      <c r="R80" s="5">
        <f t="shared" si="2"/>
        <v>6500</v>
      </c>
      <c r="S80" s="12">
        <f t="shared" si="3"/>
        <v>666.8718580075921</v>
      </c>
    </row>
    <row r="81" spans="1:19" ht="18.75" x14ac:dyDescent="0.4">
      <c r="A81" s="3" t="s">
        <v>198</v>
      </c>
      <c r="B81" s="6" t="s">
        <v>642</v>
      </c>
      <c r="C81" s="6" t="s">
        <v>458</v>
      </c>
      <c r="D81" s="7">
        <v>5842</v>
      </c>
      <c r="E81" s="2" t="s">
        <v>48</v>
      </c>
      <c r="F81" s="2" t="s">
        <v>74</v>
      </c>
      <c r="G81" s="6"/>
      <c r="H81" s="6">
        <v>16</v>
      </c>
      <c r="I81" s="6"/>
      <c r="J81" s="6" t="s">
        <v>404</v>
      </c>
      <c r="K81" s="2" t="s">
        <v>66</v>
      </c>
      <c r="L81" s="6" t="s">
        <v>405</v>
      </c>
      <c r="M81" s="6"/>
      <c r="N81" s="6" t="s">
        <v>406</v>
      </c>
      <c r="P81" s="1" t="s">
        <v>624</v>
      </c>
      <c r="Q81" s="1" t="s">
        <v>628</v>
      </c>
      <c r="R81" s="5">
        <f t="shared" si="2"/>
        <v>4000</v>
      </c>
      <c r="S81" s="12">
        <f t="shared" si="3"/>
        <v>684.6970215679562</v>
      </c>
    </row>
    <row r="82" spans="1:19" ht="18.75" x14ac:dyDescent="0.4">
      <c r="A82" s="3" t="s">
        <v>199</v>
      </c>
      <c r="B82" s="6" t="s">
        <v>642</v>
      </c>
      <c r="C82" s="6" t="s">
        <v>459</v>
      </c>
      <c r="D82" s="7">
        <v>2793</v>
      </c>
      <c r="E82" s="2" t="s">
        <v>43</v>
      </c>
      <c r="F82" s="2" t="s">
        <v>70</v>
      </c>
      <c r="G82" s="6"/>
      <c r="H82" s="6">
        <v>11</v>
      </c>
      <c r="I82" s="6"/>
      <c r="J82" s="6" t="s">
        <v>404</v>
      </c>
      <c r="K82" s="2" t="s">
        <v>460</v>
      </c>
      <c r="L82" s="6" t="s">
        <v>405</v>
      </c>
      <c r="M82" s="6" t="s">
        <v>461</v>
      </c>
      <c r="N82" s="6" t="s">
        <v>406</v>
      </c>
      <c r="P82" s="1" t="s">
        <v>624</v>
      </c>
      <c r="Q82" s="1" t="s">
        <v>628</v>
      </c>
      <c r="R82" s="5">
        <f t="shared" si="2"/>
        <v>2750</v>
      </c>
      <c r="S82" s="12">
        <f t="shared" si="3"/>
        <v>984.6043680630147</v>
      </c>
    </row>
    <row r="83" spans="1:19" ht="18.75" x14ac:dyDescent="0.4">
      <c r="A83" s="3" t="s">
        <v>200</v>
      </c>
      <c r="B83" s="6" t="s">
        <v>642</v>
      </c>
      <c r="C83" s="6" t="s">
        <v>462</v>
      </c>
      <c r="D83" s="7">
        <v>3690</v>
      </c>
      <c r="E83" s="2" t="s">
        <v>43</v>
      </c>
      <c r="F83" s="2" t="s">
        <v>70</v>
      </c>
      <c r="G83" s="6"/>
      <c r="H83" s="6">
        <v>16</v>
      </c>
      <c r="I83" s="6"/>
      <c r="J83" s="6" t="s">
        <v>404</v>
      </c>
      <c r="K83" s="2" t="s">
        <v>64</v>
      </c>
      <c r="L83" s="6" t="s">
        <v>405</v>
      </c>
      <c r="M83" s="6"/>
      <c r="N83" s="6" t="s">
        <v>406</v>
      </c>
      <c r="P83" s="1" t="s">
        <v>624</v>
      </c>
      <c r="Q83" s="1" t="s">
        <v>628</v>
      </c>
      <c r="R83" s="5">
        <f t="shared" si="2"/>
        <v>4000</v>
      </c>
      <c r="S83" s="12">
        <f t="shared" si="3"/>
        <v>1084.010840108401</v>
      </c>
    </row>
    <row r="84" spans="1:19" ht="18.75" x14ac:dyDescent="0.4">
      <c r="A84" s="3" t="s">
        <v>201</v>
      </c>
      <c r="B84" s="6" t="s">
        <v>642</v>
      </c>
      <c r="C84" s="6" t="s">
        <v>463</v>
      </c>
      <c r="D84" s="7">
        <v>5227</v>
      </c>
      <c r="E84" s="2" t="s">
        <v>43</v>
      </c>
      <c r="F84" s="2" t="s">
        <v>70</v>
      </c>
      <c r="G84" s="6"/>
      <c r="H84" s="6">
        <v>16</v>
      </c>
      <c r="I84" s="6"/>
      <c r="J84" s="6" t="s">
        <v>404</v>
      </c>
      <c r="K84" s="2" t="s">
        <v>63</v>
      </c>
      <c r="L84" s="6" t="s">
        <v>405</v>
      </c>
      <c r="M84" s="6"/>
      <c r="N84" s="6" t="s">
        <v>406</v>
      </c>
      <c r="P84" s="1" t="s">
        <v>624</v>
      </c>
      <c r="Q84" s="1" t="s">
        <v>628</v>
      </c>
      <c r="R84" s="5">
        <f t="shared" si="2"/>
        <v>4000</v>
      </c>
      <c r="S84" s="12">
        <f t="shared" si="3"/>
        <v>765.25731777310125</v>
      </c>
    </row>
    <row r="85" spans="1:19" ht="18.75" x14ac:dyDescent="0.4">
      <c r="A85" s="3" t="s">
        <v>202</v>
      </c>
      <c r="B85" s="6" t="s">
        <v>642</v>
      </c>
      <c r="C85" s="6" t="s">
        <v>464</v>
      </c>
      <c r="D85" s="7">
        <v>6026</v>
      </c>
      <c r="E85" s="2" t="s">
        <v>41</v>
      </c>
      <c r="F85" s="2" t="s">
        <v>85</v>
      </c>
      <c r="G85" s="6"/>
      <c r="H85" s="6">
        <v>14</v>
      </c>
      <c r="I85" s="6"/>
      <c r="J85" s="6" t="s">
        <v>404</v>
      </c>
      <c r="K85" s="2"/>
      <c r="L85" s="6" t="s">
        <v>405</v>
      </c>
      <c r="M85" s="6"/>
      <c r="N85" s="6" t="s">
        <v>406</v>
      </c>
      <c r="P85" s="1" t="s">
        <v>624</v>
      </c>
      <c r="Q85" s="1" t="s">
        <v>628</v>
      </c>
      <c r="R85" s="5">
        <f t="shared" si="2"/>
        <v>3500</v>
      </c>
      <c r="S85" s="12">
        <f t="shared" si="3"/>
        <v>580.81646199800866</v>
      </c>
    </row>
    <row r="86" spans="1:19" ht="18.75" x14ac:dyDescent="0.4">
      <c r="A86" s="3" t="s">
        <v>203</v>
      </c>
      <c r="B86" s="6" t="s">
        <v>642</v>
      </c>
      <c r="C86" s="6" t="s">
        <v>465</v>
      </c>
      <c r="D86" s="7">
        <v>7401</v>
      </c>
      <c r="E86" s="2" t="s">
        <v>41</v>
      </c>
      <c r="F86" s="2" t="s">
        <v>85</v>
      </c>
      <c r="G86" s="6"/>
      <c r="H86" s="6">
        <v>20</v>
      </c>
      <c r="I86" s="6"/>
      <c r="J86" s="6" t="s">
        <v>404</v>
      </c>
      <c r="K86" s="2"/>
      <c r="L86" s="6" t="s">
        <v>405</v>
      </c>
      <c r="M86" s="6"/>
      <c r="N86" s="6" t="s">
        <v>406</v>
      </c>
      <c r="P86" s="1" t="s">
        <v>624</v>
      </c>
      <c r="Q86" s="1" t="s">
        <v>628</v>
      </c>
      <c r="R86" s="5">
        <f t="shared" si="2"/>
        <v>5000</v>
      </c>
      <c r="S86" s="12">
        <f t="shared" si="3"/>
        <v>675.58438048912308</v>
      </c>
    </row>
    <row r="87" spans="1:19" ht="18.75" x14ac:dyDescent="0.4">
      <c r="A87" s="3" t="s">
        <v>204</v>
      </c>
      <c r="B87" s="6" t="s">
        <v>642</v>
      </c>
      <c r="C87" s="6" t="s">
        <v>466</v>
      </c>
      <c r="D87" s="7">
        <v>5794</v>
      </c>
      <c r="E87" s="2" t="s">
        <v>41</v>
      </c>
      <c r="F87" s="2" t="s">
        <v>85</v>
      </c>
      <c r="G87" s="6"/>
      <c r="H87" s="6">
        <v>21</v>
      </c>
      <c r="I87" s="6"/>
      <c r="J87" s="6" t="s">
        <v>404</v>
      </c>
      <c r="K87" s="2"/>
      <c r="L87" s="6" t="s">
        <v>405</v>
      </c>
      <c r="M87" s="6"/>
      <c r="N87" s="6" t="s">
        <v>406</v>
      </c>
      <c r="P87" s="1" t="s">
        <v>624</v>
      </c>
      <c r="Q87" s="1" t="s">
        <v>628</v>
      </c>
      <c r="R87" s="5">
        <f t="shared" si="2"/>
        <v>5250</v>
      </c>
      <c r="S87" s="12">
        <f t="shared" si="3"/>
        <v>906.10976872626861</v>
      </c>
    </row>
    <row r="88" spans="1:19" ht="18.75" x14ac:dyDescent="0.4">
      <c r="A88" s="3" t="s">
        <v>205</v>
      </c>
      <c r="B88" s="6" t="s">
        <v>642</v>
      </c>
      <c r="C88" s="6" t="s">
        <v>467</v>
      </c>
      <c r="D88" s="7">
        <v>3668</v>
      </c>
      <c r="E88" s="2" t="s">
        <v>41</v>
      </c>
      <c r="F88" s="2" t="s">
        <v>85</v>
      </c>
      <c r="G88" s="6"/>
      <c r="H88" s="6">
        <v>12</v>
      </c>
      <c r="I88" s="6"/>
      <c r="J88" s="6" t="s">
        <v>404</v>
      </c>
      <c r="K88" s="2"/>
      <c r="L88" s="6" t="s">
        <v>405</v>
      </c>
      <c r="M88" s="6"/>
      <c r="N88" s="6" t="s">
        <v>406</v>
      </c>
      <c r="P88" s="1" t="s">
        <v>624</v>
      </c>
      <c r="Q88" s="1" t="s">
        <v>628</v>
      </c>
      <c r="R88" s="5">
        <f t="shared" si="2"/>
        <v>3000</v>
      </c>
      <c r="S88" s="12">
        <f t="shared" si="3"/>
        <v>817.88440567066527</v>
      </c>
    </row>
    <row r="89" spans="1:19" ht="18.75" x14ac:dyDescent="0.4">
      <c r="A89" s="3" t="s">
        <v>206</v>
      </c>
      <c r="B89" s="6" t="s">
        <v>644</v>
      </c>
      <c r="C89" s="6" t="s">
        <v>468</v>
      </c>
      <c r="D89" s="7">
        <v>6698</v>
      </c>
      <c r="E89" s="2" t="s">
        <v>40</v>
      </c>
      <c r="F89" s="2" t="s">
        <v>86</v>
      </c>
      <c r="G89" s="6">
        <v>39</v>
      </c>
      <c r="H89" s="6"/>
      <c r="I89" s="6"/>
      <c r="J89" s="6"/>
      <c r="K89" s="2"/>
      <c r="L89" s="6"/>
      <c r="M89" s="6"/>
      <c r="N89" s="6"/>
      <c r="P89" s="1" t="s">
        <v>624</v>
      </c>
      <c r="Q89" s="1" t="s">
        <v>630</v>
      </c>
      <c r="R89" s="5">
        <f t="shared" si="2"/>
        <v>7800</v>
      </c>
      <c r="S89" s="12">
        <f t="shared" si="3"/>
        <v>1164.5267243953419</v>
      </c>
    </row>
    <row r="90" spans="1:19" ht="18.75" x14ac:dyDescent="0.4">
      <c r="A90" s="3" t="s">
        <v>207</v>
      </c>
      <c r="B90" s="6" t="s">
        <v>644</v>
      </c>
      <c r="C90" s="6" t="s">
        <v>469</v>
      </c>
      <c r="D90" s="7">
        <v>4014</v>
      </c>
      <c r="E90" s="2" t="s">
        <v>40</v>
      </c>
      <c r="F90" s="2" t="s">
        <v>86</v>
      </c>
      <c r="G90" s="6">
        <v>22</v>
      </c>
      <c r="H90" s="6"/>
      <c r="I90" s="6"/>
      <c r="J90" s="6"/>
      <c r="K90" s="2"/>
      <c r="L90" s="6"/>
      <c r="M90" s="6"/>
      <c r="N90" s="6"/>
      <c r="P90" s="1" t="s">
        <v>624</v>
      </c>
      <c r="Q90" s="1" t="s">
        <v>630</v>
      </c>
      <c r="R90" s="5">
        <f t="shared" si="2"/>
        <v>4400</v>
      </c>
      <c r="S90" s="12">
        <f t="shared" si="3"/>
        <v>1096.163428001993</v>
      </c>
    </row>
    <row r="91" spans="1:19" ht="18.75" x14ac:dyDescent="0.4">
      <c r="A91" s="3" t="s">
        <v>208</v>
      </c>
      <c r="B91" s="6" t="s">
        <v>644</v>
      </c>
      <c r="C91" s="6" t="s">
        <v>470</v>
      </c>
      <c r="D91" s="7">
        <v>9495</v>
      </c>
      <c r="E91" s="2" t="s">
        <v>40</v>
      </c>
      <c r="F91" s="2" t="s">
        <v>86</v>
      </c>
      <c r="G91" s="6">
        <v>50</v>
      </c>
      <c r="H91" s="6"/>
      <c r="I91" s="6"/>
      <c r="J91" s="6"/>
      <c r="K91" s="2"/>
      <c r="L91" s="6"/>
      <c r="M91" s="6"/>
      <c r="N91" s="6"/>
      <c r="P91" s="1" t="s">
        <v>624</v>
      </c>
      <c r="Q91" s="1" t="s">
        <v>630</v>
      </c>
      <c r="R91" s="5">
        <f t="shared" si="2"/>
        <v>10000</v>
      </c>
      <c r="S91" s="12">
        <f t="shared" si="3"/>
        <v>1053.1858873091101</v>
      </c>
    </row>
    <row r="92" spans="1:19" ht="18.75" x14ac:dyDescent="0.4">
      <c r="A92" s="3" t="s">
        <v>209</v>
      </c>
      <c r="B92" s="6" t="s">
        <v>644</v>
      </c>
      <c r="C92" s="6" t="s">
        <v>471</v>
      </c>
      <c r="D92" s="7">
        <v>1439</v>
      </c>
      <c r="E92" s="2" t="s">
        <v>40</v>
      </c>
      <c r="F92" s="2" t="s">
        <v>86</v>
      </c>
      <c r="G92" s="6">
        <v>8</v>
      </c>
      <c r="H92" s="6"/>
      <c r="I92" s="6"/>
      <c r="J92" s="6"/>
      <c r="K92" s="2"/>
      <c r="L92" s="6"/>
      <c r="M92" s="6"/>
      <c r="N92" s="6"/>
      <c r="P92" s="1" t="s">
        <v>624</v>
      </c>
      <c r="Q92" s="1" t="s">
        <v>630</v>
      </c>
      <c r="R92" s="5">
        <f t="shared" si="2"/>
        <v>1600</v>
      </c>
      <c r="S92" s="12">
        <f t="shared" si="3"/>
        <v>1111.8832522585128</v>
      </c>
    </row>
    <row r="93" spans="1:19" ht="18.75" x14ac:dyDescent="0.4">
      <c r="A93" s="3" t="s">
        <v>210</v>
      </c>
      <c r="B93" s="6" t="s">
        <v>644</v>
      </c>
      <c r="C93" s="6" t="s">
        <v>472</v>
      </c>
      <c r="D93" s="7">
        <v>4065</v>
      </c>
      <c r="E93" s="2" t="s">
        <v>41</v>
      </c>
      <c r="F93" s="2" t="s">
        <v>85</v>
      </c>
      <c r="G93" s="6"/>
      <c r="H93" s="6">
        <v>13</v>
      </c>
      <c r="I93" s="6"/>
      <c r="J93" s="6"/>
      <c r="K93" s="2"/>
      <c r="L93" s="6"/>
      <c r="M93" s="6"/>
      <c r="N93" s="6"/>
      <c r="P93" s="1" t="s">
        <v>624</v>
      </c>
      <c r="Q93" s="1" t="s">
        <v>630</v>
      </c>
      <c r="R93" s="5">
        <f t="shared" si="2"/>
        <v>3250</v>
      </c>
      <c r="S93" s="12">
        <f t="shared" si="3"/>
        <v>799.50799507995089</v>
      </c>
    </row>
    <row r="94" spans="1:19" ht="18.75" x14ac:dyDescent="0.4">
      <c r="A94" s="3" t="s">
        <v>211</v>
      </c>
      <c r="B94" s="6" t="s">
        <v>644</v>
      </c>
      <c r="C94" s="6" t="s">
        <v>473</v>
      </c>
      <c r="D94" s="7">
        <v>12453</v>
      </c>
      <c r="E94" s="2" t="s">
        <v>41</v>
      </c>
      <c r="F94" s="2" t="s">
        <v>85</v>
      </c>
      <c r="G94" s="6"/>
      <c r="H94" s="6">
        <v>69</v>
      </c>
      <c r="I94" s="6"/>
      <c r="J94" s="6"/>
      <c r="K94" s="2"/>
      <c r="L94" s="6"/>
      <c r="M94" s="6"/>
      <c r="N94" s="6"/>
      <c r="P94" s="1" t="s">
        <v>624</v>
      </c>
      <c r="Q94" s="1" t="s">
        <v>630</v>
      </c>
      <c r="R94" s="5">
        <f t="shared" si="2"/>
        <v>17250</v>
      </c>
      <c r="S94" s="12">
        <f t="shared" si="3"/>
        <v>1385.2083835220428</v>
      </c>
    </row>
    <row r="95" spans="1:19" ht="18.75" x14ac:dyDescent="0.4">
      <c r="A95" s="3" t="s">
        <v>212</v>
      </c>
      <c r="B95" s="6" t="s">
        <v>644</v>
      </c>
      <c r="C95" s="6" t="s">
        <v>474</v>
      </c>
      <c r="D95" s="7">
        <v>13839</v>
      </c>
      <c r="E95" s="2" t="s">
        <v>41</v>
      </c>
      <c r="F95" s="2" t="s">
        <v>85</v>
      </c>
      <c r="G95" s="6"/>
      <c r="H95" s="6">
        <v>70</v>
      </c>
      <c r="I95" s="6"/>
      <c r="J95" s="6"/>
      <c r="K95" s="2"/>
      <c r="L95" s="6"/>
      <c r="M95" s="6"/>
      <c r="N95" s="6"/>
      <c r="P95" s="1" t="s">
        <v>624</v>
      </c>
      <c r="Q95" s="1" t="s">
        <v>630</v>
      </c>
      <c r="R95" s="5">
        <f t="shared" si="2"/>
        <v>17500</v>
      </c>
      <c r="S95" s="12">
        <f t="shared" si="3"/>
        <v>1264.5422357106729</v>
      </c>
    </row>
    <row r="96" spans="1:19" ht="18.75" x14ac:dyDescent="0.4">
      <c r="A96" s="3" t="s">
        <v>213</v>
      </c>
      <c r="B96" s="6" t="s">
        <v>644</v>
      </c>
      <c r="C96" s="6" t="s">
        <v>475</v>
      </c>
      <c r="D96" s="7">
        <v>11672</v>
      </c>
      <c r="E96" s="2" t="s">
        <v>41</v>
      </c>
      <c r="F96" s="2" t="s">
        <v>85</v>
      </c>
      <c r="G96" s="6"/>
      <c r="H96" s="6">
        <v>45</v>
      </c>
      <c r="I96" s="6"/>
      <c r="J96" s="6"/>
      <c r="K96" s="2"/>
      <c r="L96" s="6"/>
      <c r="M96" s="6"/>
      <c r="N96" s="6"/>
      <c r="P96" s="1" t="s">
        <v>624</v>
      </c>
      <c r="Q96" s="1" t="s">
        <v>630</v>
      </c>
      <c r="R96" s="5">
        <f t="shared" si="2"/>
        <v>11250</v>
      </c>
      <c r="S96" s="12">
        <f t="shared" si="3"/>
        <v>963.84509938313909</v>
      </c>
    </row>
    <row r="97" spans="1:19" ht="18.75" x14ac:dyDescent="0.4">
      <c r="A97" s="3" t="s">
        <v>214</v>
      </c>
      <c r="B97" s="6" t="s">
        <v>644</v>
      </c>
      <c r="C97" s="6" t="s">
        <v>476</v>
      </c>
      <c r="D97" s="7">
        <v>5726</v>
      </c>
      <c r="E97" s="2" t="s">
        <v>41</v>
      </c>
      <c r="F97" s="2" t="s">
        <v>85</v>
      </c>
      <c r="G97" s="6"/>
      <c r="H97" s="6">
        <v>26</v>
      </c>
      <c r="I97" s="6"/>
      <c r="J97" s="6"/>
      <c r="K97" s="2"/>
      <c r="L97" s="6"/>
      <c r="M97" s="6"/>
      <c r="N97" s="6"/>
      <c r="P97" s="1" t="s">
        <v>624</v>
      </c>
      <c r="Q97" s="1" t="s">
        <v>630</v>
      </c>
      <c r="R97" s="5">
        <f t="shared" si="2"/>
        <v>6500</v>
      </c>
      <c r="S97" s="12">
        <f t="shared" si="3"/>
        <v>1135.1728955640936</v>
      </c>
    </row>
    <row r="98" spans="1:19" ht="18.75" x14ac:dyDescent="0.4">
      <c r="A98" s="3" t="s">
        <v>215</v>
      </c>
      <c r="B98" s="6" t="s">
        <v>644</v>
      </c>
      <c r="C98" s="6" t="s">
        <v>477</v>
      </c>
      <c r="D98" s="7">
        <v>9580</v>
      </c>
      <c r="E98" s="2" t="s">
        <v>52</v>
      </c>
      <c r="F98" s="2" t="s">
        <v>87</v>
      </c>
      <c r="G98" s="6">
        <v>53</v>
      </c>
      <c r="H98" s="6"/>
      <c r="I98" s="6"/>
      <c r="J98" s="6"/>
      <c r="K98" s="2"/>
      <c r="L98" s="6"/>
      <c r="M98" s="6"/>
      <c r="N98" s="6"/>
      <c r="P98" s="1" t="s">
        <v>624</v>
      </c>
      <c r="Q98" s="1" t="s">
        <v>630</v>
      </c>
      <c r="R98" s="5">
        <f t="shared" si="2"/>
        <v>10600</v>
      </c>
      <c r="S98" s="12">
        <f t="shared" si="3"/>
        <v>1106.4718162839249</v>
      </c>
    </row>
    <row r="99" spans="1:19" ht="18.75" x14ac:dyDescent="0.4">
      <c r="A99" s="3" t="s">
        <v>216</v>
      </c>
      <c r="B99" s="6" t="s">
        <v>644</v>
      </c>
      <c r="C99" s="6" t="s">
        <v>478</v>
      </c>
      <c r="D99" s="7">
        <v>2581</v>
      </c>
      <c r="E99" s="2" t="s">
        <v>51</v>
      </c>
      <c r="F99" s="2" t="s">
        <v>72</v>
      </c>
      <c r="G99" s="6">
        <v>12</v>
      </c>
      <c r="H99" s="6"/>
      <c r="I99" s="6"/>
      <c r="J99" s="6"/>
      <c r="K99" s="2"/>
      <c r="L99" s="6"/>
      <c r="M99" s="6"/>
      <c r="N99" s="6"/>
      <c r="P99" s="1" t="s">
        <v>624</v>
      </c>
      <c r="Q99" s="1" t="s">
        <v>630</v>
      </c>
      <c r="R99" s="5">
        <f t="shared" si="2"/>
        <v>2400</v>
      </c>
      <c r="S99" s="12">
        <f t="shared" si="3"/>
        <v>929.87214258039523</v>
      </c>
    </row>
    <row r="100" spans="1:19" ht="18.75" x14ac:dyDescent="0.4">
      <c r="A100" s="3" t="s">
        <v>217</v>
      </c>
      <c r="B100" s="6" t="s">
        <v>644</v>
      </c>
      <c r="C100" s="6" t="s">
        <v>479</v>
      </c>
      <c r="D100" s="7">
        <v>3661</v>
      </c>
      <c r="E100" s="2" t="s">
        <v>51</v>
      </c>
      <c r="F100" s="2" t="s">
        <v>72</v>
      </c>
      <c r="G100" s="6">
        <v>14</v>
      </c>
      <c r="H100" s="6"/>
      <c r="I100" s="6"/>
      <c r="J100" s="6"/>
      <c r="K100" s="2"/>
      <c r="L100" s="6"/>
      <c r="M100" s="6"/>
      <c r="N100" s="6"/>
      <c r="P100" s="1" t="s">
        <v>624</v>
      </c>
      <c r="Q100" s="1" t="s">
        <v>630</v>
      </c>
      <c r="R100" s="5">
        <f t="shared" si="2"/>
        <v>2800</v>
      </c>
      <c r="S100" s="12">
        <f t="shared" si="3"/>
        <v>764.8183556405354</v>
      </c>
    </row>
    <row r="101" spans="1:19" ht="18.75" x14ac:dyDescent="0.4">
      <c r="A101" s="3" t="s">
        <v>218</v>
      </c>
      <c r="B101" s="6" t="s">
        <v>644</v>
      </c>
      <c r="C101" s="6" t="s">
        <v>480</v>
      </c>
      <c r="D101" s="7">
        <v>7325</v>
      </c>
      <c r="E101" s="2" t="s">
        <v>40</v>
      </c>
      <c r="F101" s="2" t="s">
        <v>86</v>
      </c>
      <c r="G101" s="6">
        <v>54</v>
      </c>
      <c r="H101" s="6"/>
      <c r="I101" s="6"/>
      <c r="J101" s="6"/>
      <c r="K101" s="2"/>
      <c r="L101" s="6"/>
      <c r="M101" s="6"/>
      <c r="N101" s="6"/>
      <c r="P101" s="1" t="s">
        <v>624</v>
      </c>
      <c r="Q101" s="1" t="s">
        <v>630</v>
      </c>
      <c r="R101" s="5">
        <f t="shared" si="2"/>
        <v>10800</v>
      </c>
      <c r="S101" s="12">
        <f t="shared" si="3"/>
        <v>1474.4027303754265</v>
      </c>
    </row>
    <row r="102" spans="1:19" ht="18.75" x14ac:dyDescent="0.4">
      <c r="A102" s="3" t="s">
        <v>219</v>
      </c>
      <c r="B102" s="6" t="s">
        <v>644</v>
      </c>
      <c r="C102" s="6" t="s">
        <v>481</v>
      </c>
      <c r="D102" s="7">
        <v>4145</v>
      </c>
      <c r="E102" s="2" t="s">
        <v>41</v>
      </c>
      <c r="F102" s="2" t="s">
        <v>85</v>
      </c>
      <c r="G102" s="6"/>
      <c r="H102" s="6">
        <v>13</v>
      </c>
      <c r="I102" s="6"/>
      <c r="J102" s="6"/>
      <c r="K102" s="2"/>
      <c r="L102" s="6"/>
      <c r="M102" s="6"/>
      <c r="N102" s="6"/>
      <c r="P102" s="1" t="s">
        <v>624</v>
      </c>
      <c r="Q102" s="1" t="s">
        <v>630</v>
      </c>
      <c r="R102" s="5">
        <f t="shared" si="2"/>
        <v>3250</v>
      </c>
      <c r="S102" s="12">
        <f t="shared" si="3"/>
        <v>784.07720144752716</v>
      </c>
    </row>
    <row r="103" spans="1:19" ht="18.75" x14ac:dyDescent="0.4">
      <c r="A103" s="3" t="s">
        <v>220</v>
      </c>
      <c r="B103" s="6" t="s">
        <v>641</v>
      </c>
      <c r="C103" s="6" t="s">
        <v>482</v>
      </c>
      <c r="D103" s="7">
        <v>4714</v>
      </c>
      <c r="E103" s="2" t="s">
        <v>17</v>
      </c>
      <c r="F103" s="2" t="s">
        <v>88</v>
      </c>
      <c r="G103" s="6"/>
      <c r="H103" s="6"/>
      <c r="I103" s="6">
        <v>47</v>
      </c>
      <c r="J103" s="6" t="s">
        <v>483</v>
      </c>
      <c r="K103" s="2" t="s">
        <v>484</v>
      </c>
      <c r="L103" s="6" t="s">
        <v>382</v>
      </c>
      <c r="M103" s="6" t="s">
        <v>485</v>
      </c>
      <c r="N103" s="6" t="s">
        <v>486</v>
      </c>
      <c r="P103" s="1" t="s">
        <v>625</v>
      </c>
      <c r="Q103" s="1" t="s">
        <v>627</v>
      </c>
      <c r="R103" s="5">
        <f t="shared" si="2"/>
        <v>14100</v>
      </c>
      <c r="S103" s="12">
        <f t="shared" si="3"/>
        <v>2991.0903691132798</v>
      </c>
    </row>
    <row r="104" spans="1:19" ht="18.75" x14ac:dyDescent="0.4">
      <c r="A104" s="3" t="s">
        <v>221</v>
      </c>
      <c r="B104" s="6" t="s">
        <v>641</v>
      </c>
      <c r="C104" s="6" t="s">
        <v>487</v>
      </c>
      <c r="D104" s="7">
        <v>5350</v>
      </c>
      <c r="E104" s="2" t="s">
        <v>17</v>
      </c>
      <c r="F104" s="2" t="s">
        <v>114</v>
      </c>
      <c r="G104" s="6"/>
      <c r="H104" s="6"/>
      <c r="I104" s="6">
        <v>53</v>
      </c>
      <c r="J104" s="6" t="s">
        <v>488</v>
      </c>
      <c r="K104" s="2" t="s">
        <v>489</v>
      </c>
      <c r="L104" s="6" t="s">
        <v>365</v>
      </c>
      <c r="M104" s="6"/>
      <c r="N104" s="6" t="s">
        <v>486</v>
      </c>
      <c r="P104" s="1" t="s">
        <v>625</v>
      </c>
      <c r="Q104" s="1" t="s">
        <v>627</v>
      </c>
      <c r="R104" s="5">
        <f t="shared" si="2"/>
        <v>15900</v>
      </c>
      <c r="S104" s="12">
        <f t="shared" si="3"/>
        <v>2971.9626168224299</v>
      </c>
    </row>
    <row r="105" spans="1:19" ht="18.75" x14ac:dyDescent="0.4">
      <c r="A105" s="3" t="s">
        <v>222</v>
      </c>
      <c r="B105" s="6" t="s">
        <v>641</v>
      </c>
      <c r="C105" s="6" t="s">
        <v>490</v>
      </c>
      <c r="D105" s="7">
        <v>1970</v>
      </c>
      <c r="E105" s="2" t="s">
        <v>16</v>
      </c>
      <c r="F105" s="2" t="s">
        <v>89</v>
      </c>
      <c r="G105" s="6"/>
      <c r="H105" s="6"/>
      <c r="I105" s="6">
        <v>19</v>
      </c>
      <c r="J105" s="6" t="s">
        <v>488</v>
      </c>
      <c r="K105" s="2" t="s">
        <v>491</v>
      </c>
      <c r="L105" s="6" t="s">
        <v>365</v>
      </c>
      <c r="M105" s="6" t="s">
        <v>492</v>
      </c>
      <c r="N105" s="6" t="s">
        <v>486</v>
      </c>
      <c r="P105" s="1" t="s">
        <v>625</v>
      </c>
      <c r="Q105" s="1" t="s">
        <v>627</v>
      </c>
      <c r="R105" s="5">
        <f t="shared" si="2"/>
        <v>5700</v>
      </c>
      <c r="S105" s="12">
        <f t="shared" si="3"/>
        <v>2893.4010152284263</v>
      </c>
    </row>
    <row r="106" spans="1:19" ht="18.75" x14ac:dyDescent="0.4">
      <c r="A106" s="3" t="s">
        <v>223</v>
      </c>
      <c r="B106" s="6" t="s">
        <v>641</v>
      </c>
      <c r="C106" s="6" t="s">
        <v>493</v>
      </c>
      <c r="D106" s="7">
        <v>7416</v>
      </c>
      <c r="E106" s="2" t="s">
        <v>114</v>
      </c>
      <c r="F106" s="2" t="s">
        <v>16</v>
      </c>
      <c r="G106" s="6"/>
      <c r="H106" s="6"/>
      <c r="I106" s="6">
        <v>82</v>
      </c>
      <c r="J106" s="6" t="s">
        <v>494</v>
      </c>
      <c r="K106" s="2" t="s">
        <v>495</v>
      </c>
      <c r="L106" s="6" t="s">
        <v>365</v>
      </c>
      <c r="M106" s="6" t="s">
        <v>496</v>
      </c>
      <c r="N106" s="6" t="s">
        <v>486</v>
      </c>
      <c r="P106" s="1" t="s">
        <v>625</v>
      </c>
      <c r="Q106" s="1" t="s">
        <v>627</v>
      </c>
      <c r="R106" s="5">
        <f t="shared" si="2"/>
        <v>24600</v>
      </c>
      <c r="S106" s="12">
        <f t="shared" si="3"/>
        <v>3317.1521035598707</v>
      </c>
    </row>
    <row r="107" spans="1:19" ht="18.75" x14ac:dyDescent="0.4">
      <c r="A107" s="3" t="s">
        <v>224</v>
      </c>
      <c r="B107" s="6" t="s">
        <v>643</v>
      </c>
      <c r="C107" s="6" t="s">
        <v>497</v>
      </c>
      <c r="D107" s="7">
        <v>6933</v>
      </c>
      <c r="E107" s="2" t="s">
        <v>8</v>
      </c>
      <c r="F107" s="2" t="s">
        <v>90</v>
      </c>
      <c r="G107" s="6">
        <v>64</v>
      </c>
      <c r="H107" s="6"/>
      <c r="I107" s="6"/>
      <c r="J107" s="6" t="s">
        <v>376</v>
      </c>
      <c r="K107" s="2" t="s">
        <v>6</v>
      </c>
      <c r="L107" s="6" t="s">
        <v>382</v>
      </c>
      <c r="M107" s="6"/>
      <c r="N107" s="6" t="s">
        <v>383</v>
      </c>
      <c r="P107" s="1" t="s">
        <v>118</v>
      </c>
      <c r="Q107" s="1" t="s">
        <v>627</v>
      </c>
      <c r="R107" s="5">
        <f t="shared" si="2"/>
        <v>12800</v>
      </c>
      <c r="S107" s="12">
        <f t="shared" si="3"/>
        <v>1846.2426078176834</v>
      </c>
    </row>
    <row r="108" spans="1:19" ht="18.75" x14ac:dyDescent="0.4">
      <c r="A108" s="3" t="s">
        <v>225</v>
      </c>
      <c r="B108" s="6" t="s">
        <v>643</v>
      </c>
      <c r="C108" s="6" t="s">
        <v>498</v>
      </c>
      <c r="D108" s="7">
        <v>6424</v>
      </c>
      <c r="E108" s="2" t="s">
        <v>27</v>
      </c>
      <c r="F108" s="2" t="s">
        <v>91</v>
      </c>
      <c r="G108" s="6">
        <v>73</v>
      </c>
      <c r="H108" s="6"/>
      <c r="I108" s="6"/>
      <c r="J108" s="6" t="s">
        <v>394</v>
      </c>
      <c r="K108" s="2" t="s">
        <v>499</v>
      </c>
      <c r="L108" s="6" t="s">
        <v>365</v>
      </c>
      <c r="M108" s="6" t="s">
        <v>500</v>
      </c>
      <c r="N108" s="6" t="s">
        <v>501</v>
      </c>
      <c r="P108" s="1" t="s">
        <v>623</v>
      </c>
      <c r="Q108" s="1" t="s">
        <v>627</v>
      </c>
      <c r="R108" s="5">
        <f t="shared" si="2"/>
        <v>14600</v>
      </c>
      <c r="S108" s="12">
        <f t="shared" si="3"/>
        <v>2272.727272727273</v>
      </c>
    </row>
    <row r="109" spans="1:19" ht="18.75" x14ac:dyDescent="0.4">
      <c r="A109" s="3" t="s">
        <v>226</v>
      </c>
      <c r="B109" s="6" t="s">
        <v>643</v>
      </c>
      <c r="C109" s="6" t="s">
        <v>502</v>
      </c>
      <c r="D109" s="7">
        <v>6150</v>
      </c>
      <c r="E109" s="2" t="s">
        <v>27</v>
      </c>
      <c r="F109" s="2" t="s">
        <v>91</v>
      </c>
      <c r="G109" s="6">
        <v>80</v>
      </c>
      <c r="H109" s="6"/>
      <c r="I109" s="6"/>
      <c r="J109" s="6" t="s">
        <v>376</v>
      </c>
      <c r="K109" s="2" t="s">
        <v>503</v>
      </c>
      <c r="L109" s="6" t="s">
        <v>365</v>
      </c>
      <c r="M109" s="6" t="s">
        <v>504</v>
      </c>
      <c r="N109" s="6" t="s">
        <v>383</v>
      </c>
      <c r="P109" s="1" t="s">
        <v>623</v>
      </c>
      <c r="Q109" s="1" t="s">
        <v>627</v>
      </c>
      <c r="R109" s="5">
        <f t="shared" si="2"/>
        <v>16000</v>
      </c>
      <c r="S109" s="12">
        <f t="shared" si="3"/>
        <v>2601.6260162601625</v>
      </c>
    </row>
    <row r="110" spans="1:19" ht="18.75" x14ac:dyDescent="0.4">
      <c r="A110" s="3" t="s">
        <v>227</v>
      </c>
      <c r="B110" s="6" t="s">
        <v>643</v>
      </c>
      <c r="C110" s="6" t="s">
        <v>505</v>
      </c>
      <c r="D110" s="7">
        <v>6937</v>
      </c>
      <c r="E110" s="2" t="s">
        <v>27</v>
      </c>
      <c r="F110" s="2" t="s">
        <v>91</v>
      </c>
      <c r="G110" s="6">
        <v>87</v>
      </c>
      <c r="H110" s="6"/>
      <c r="I110" s="6"/>
      <c r="J110" s="6" t="s">
        <v>376</v>
      </c>
      <c r="K110" s="2" t="s">
        <v>32</v>
      </c>
      <c r="L110" s="6" t="s">
        <v>365</v>
      </c>
      <c r="M110" s="6"/>
      <c r="N110" s="6" t="s">
        <v>383</v>
      </c>
      <c r="P110" s="1" t="s">
        <v>623</v>
      </c>
      <c r="Q110" s="1" t="s">
        <v>627</v>
      </c>
      <c r="R110" s="5">
        <f t="shared" si="2"/>
        <v>17400</v>
      </c>
      <c r="S110" s="12">
        <f t="shared" si="3"/>
        <v>2508.2888856854547</v>
      </c>
    </row>
    <row r="111" spans="1:19" ht="18.75" x14ac:dyDescent="0.4">
      <c r="A111" s="3" t="s">
        <v>228</v>
      </c>
      <c r="B111" s="6" t="s">
        <v>643</v>
      </c>
      <c r="C111" s="6" t="s">
        <v>506</v>
      </c>
      <c r="D111" s="7">
        <v>9987</v>
      </c>
      <c r="E111" s="2" t="s">
        <v>5</v>
      </c>
      <c r="F111" s="2" t="s">
        <v>92</v>
      </c>
      <c r="G111" s="6">
        <v>98</v>
      </c>
      <c r="H111" s="6"/>
      <c r="I111" s="6"/>
      <c r="J111" s="6" t="s">
        <v>385</v>
      </c>
      <c r="K111" s="2" t="s">
        <v>9</v>
      </c>
      <c r="L111" s="6" t="s">
        <v>386</v>
      </c>
      <c r="M111" s="6"/>
      <c r="N111" s="6" t="s">
        <v>366</v>
      </c>
      <c r="P111" s="1" t="s">
        <v>118</v>
      </c>
      <c r="Q111" s="1" t="s">
        <v>627</v>
      </c>
      <c r="R111" s="5">
        <f t="shared" si="2"/>
        <v>19600</v>
      </c>
      <c r="S111" s="12">
        <f t="shared" si="3"/>
        <v>1962.5513167117251</v>
      </c>
    </row>
    <row r="112" spans="1:19" ht="18.75" x14ac:dyDescent="0.4">
      <c r="A112" s="3" t="s">
        <v>229</v>
      </c>
      <c r="B112" s="6" t="s">
        <v>643</v>
      </c>
      <c r="C112" s="6" t="s">
        <v>507</v>
      </c>
      <c r="D112" s="7">
        <v>6079</v>
      </c>
      <c r="E112" s="2" t="s">
        <v>4</v>
      </c>
      <c r="F112" s="2" t="s">
        <v>92</v>
      </c>
      <c r="G112" s="6">
        <v>64</v>
      </c>
      <c r="H112" s="6"/>
      <c r="I112" s="6"/>
      <c r="J112" s="6" t="s">
        <v>385</v>
      </c>
      <c r="K112" s="2" t="s">
        <v>508</v>
      </c>
      <c r="L112" s="6" t="s">
        <v>386</v>
      </c>
      <c r="M112" s="6" t="s">
        <v>509</v>
      </c>
      <c r="N112" s="6" t="s">
        <v>366</v>
      </c>
      <c r="P112" s="1" t="s">
        <v>118</v>
      </c>
      <c r="Q112" s="1" t="s">
        <v>627</v>
      </c>
      <c r="R112" s="5">
        <f t="shared" si="2"/>
        <v>12800</v>
      </c>
      <c r="S112" s="12">
        <f t="shared" si="3"/>
        <v>2105.6094752426384</v>
      </c>
    </row>
    <row r="113" spans="1:19" ht="18.75" x14ac:dyDescent="0.4">
      <c r="A113" s="3" t="s">
        <v>230</v>
      </c>
      <c r="B113" s="6" t="s">
        <v>643</v>
      </c>
      <c r="C113" s="6" t="s">
        <v>510</v>
      </c>
      <c r="D113" s="7">
        <v>7090</v>
      </c>
      <c r="E113" s="2" t="s">
        <v>4</v>
      </c>
      <c r="F113" s="2" t="s">
        <v>93</v>
      </c>
      <c r="G113" s="6">
        <v>70</v>
      </c>
      <c r="H113" s="6"/>
      <c r="I113" s="6"/>
      <c r="J113" s="6" t="s">
        <v>385</v>
      </c>
      <c r="K113" s="2" t="s">
        <v>511</v>
      </c>
      <c r="L113" s="6" t="s">
        <v>386</v>
      </c>
      <c r="M113" s="6" t="s">
        <v>512</v>
      </c>
      <c r="N113" s="6" t="s">
        <v>366</v>
      </c>
      <c r="P113" s="1" t="s">
        <v>118</v>
      </c>
      <c r="Q113" s="1" t="s">
        <v>627</v>
      </c>
      <c r="R113" s="5">
        <f t="shared" si="2"/>
        <v>14000</v>
      </c>
      <c r="S113" s="12">
        <f t="shared" si="3"/>
        <v>1974.6121297602258</v>
      </c>
    </row>
    <row r="114" spans="1:19" ht="18.75" x14ac:dyDescent="0.4">
      <c r="A114" s="3" t="s">
        <v>231</v>
      </c>
      <c r="B114" s="6" t="s">
        <v>643</v>
      </c>
      <c r="C114" s="6" t="s">
        <v>513</v>
      </c>
      <c r="D114" s="7">
        <v>7766</v>
      </c>
      <c r="E114" s="2" t="s">
        <v>93</v>
      </c>
      <c r="F114" s="2" t="s">
        <v>93</v>
      </c>
      <c r="G114" s="6">
        <v>79</v>
      </c>
      <c r="H114" s="6"/>
      <c r="I114" s="6"/>
      <c r="J114" s="6" t="s">
        <v>385</v>
      </c>
      <c r="K114" s="2" t="s">
        <v>514</v>
      </c>
      <c r="L114" s="6" t="s">
        <v>386</v>
      </c>
      <c r="M114" s="6" t="s">
        <v>515</v>
      </c>
      <c r="N114" s="6" t="s">
        <v>366</v>
      </c>
      <c r="P114" s="1" t="s">
        <v>118</v>
      </c>
      <c r="Q114" s="1" t="s">
        <v>627</v>
      </c>
      <c r="R114" s="5">
        <f t="shared" si="2"/>
        <v>15800</v>
      </c>
      <c r="S114" s="12">
        <f t="shared" si="3"/>
        <v>2034.5093999484934</v>
      </c>
    </row>
    <row r="115" spans="1:19" ht="18.75" x14ac:dyDescent="0.4">
      <c r="A115" s="3" t="s">
        <v>232</v>
      </c>
      <c r="B115" s="6" t="s">
        <v>643</v>
      </c>
      <c r="C115" s="6" t="s">
        <v>516</v>
      </c>
      <c r="D115" s="7">
        <v>2669</v>
      </c>
      <c r="E115" s="2" t="s">
        <v>28</v>
      </c>
      <c r="F115" s="2" t="s">
        <v>94</v>
      </c>
      <c r="G115" s="6">
        <v>22</v>
      </c>
      <c r="H115" s="6"/>
      <c r="I115" s="6"/>
      <c r="J115" s="6" t="s">
        <v>376</v>
      </c>
      <c r="K115" s="2" t="s">
        <v>27</v>
      </c>
      <c r="L115" s="6" t="s">
        <v>365</v>
      </c>
      <c r="M115" s="6"/>
      <c r="N115" s="6" t="s">
        <v>383</v>
      </c>
      <c r="P115" s="1" t="s">
        <v>623</v>
      </c>
      <c r="Q115" s="1" t="s">
        <v>627</v>
      </c>
      <c r="R115" s="5">
        <f t="shared" si="2"/>
        <v>4400</v>
      </c>
      <c r="S115" s="12">
        <f t="shared" si="3"/>
        <v>1648.5575121768452</v>
      </c>
    </row>
    <row r="116" spans="1:19" ht="18.75" x14ac:dyDescent="0.4">
      <c r="A116" s="3" t="s">
        <v>233</v>
      </c>
      <c r="B116" s="6" t="s">
        <v>643</v>
      </c>
      <c r="C116" s="6" t="s">
        <v>517</v>
      </c>
      <c r="D116" s="7">
        <v>13778</v>
      </c>
      <c r="E116" s="2" t="s">
        <v>28</v>
      </c>
      <c r="F116" s="2" t="s">
        <v>94</v>
      </c>
      <c r="G116" s="6">
        <v>143</v>
      </c>
      <c r="H116" s="6"/>
      <c r="I116" s="6"/>
      <c r="J116" s="6" t="s">
        <v>376</v>
      </c>
      <c r="K116" s="2" t="s">
        <v>518</v>
      </c>
      <c r="L116" s="6" t="s">
        <v>365</v>
      </c>
      <c r="M116" s="6" t="s">
        <v>519</v>
      </c>
      <c r="N116" s="6" t="s">
        <v>383</v>
      </c>
      <c r="P116" s="1" t="s">
        <v>623</v>
      </c>
      <c r="Q116" s="1" t="s">
        <v>627</v>
      </c>
      <c r="R116" s="5">
        <f t="shared" si="2"/>
        <v>28600</v>
      </c>
      <c r="S116" s="12">
        <f t="shared" si="3"/>
        <v>2075.7729714036868</v>
      </c>
    </row>
    <row r="117" spans="1:19" ht="18.75" x14ac:dyDescent="0.4">
      <c r="A117" s="3" t="s">
        <v>234</v>
      </c>
      <c r="B117" s="6" t="s">
        <v>643</v>
      </c>
      <c r="C117" s="6" t="s">
        <v>520</v>
      </c>
      <c r="D117" s="7">
        <v>2451</v>
      </c>
      <c r="E117" s="2" t="s">
        <v>28</v>
      </c>
      <c r="F117" s="2" t="s">
        <v>94</v>
      </c>
      <c r="G117" s="6">
        <v>25</v>
      </c>
      <c r="H117" s="6"/>
      <c r="I117" s="6"/>
      <c r="J117" s="6" t="s">
        <v>376</v>
      </c>
      <c r="K117" s="2" t="s">
        <v>27</v>
      </c>
      <c r="L117" s="6" t="s">
        <v>365</v>
      </c>
      <c r="M117" s="6"/>
      <c r="N117" s="6" t="s">
        <v>383</v>
      </c>
      <c r="P117" s="1" t="s">
        <v>623</v>
      </c>
      <c r="Q117" s="1" t="s">
        <v>627</v>
      </c>
      <c r="R117" s="5">
        <f t="shared" si="2"/>
        <v>5000</v>
      </c>
      <c r="S117" s="12">
        <f t="shared" si="3"/>
        <v>2039.9836801305589</v>
      </c>
    </row>
    <row r="118" spans="1:19" ht="18.75" x14ac:dyDescent="0.4">
      <c r="A118" s="3" t="s">
        <v>235</v>
      </c>
      <c r="B118" s="6" t="s">
        <v>646</v>
      </c>
      <c r="C118" s="6" t="s">
        <v>521</v>
      </c>
      <c r="D118" s="7">
        <v>5755</v>
      </c>
      <c r="E118" s="2" t="s">
        <v>32</v>
      </c>
      <c r="F118" s="2" t="s">
        <v>95</v>
      </c>
      <c r="G118" s="6">
        <v>77</v>
      </c>
      <c r="H118" s="6"/>
      <c r="I118" s="6"/>
      <c r="J118" s="6"/>
      <c r="K118" s="2"/>
      <c r="L118" s="6"/>
      <c r="M118" s="6"/>
      <c r="N118" s="6"/>
      <c r="P118" s="1" t="s">
        <v>624</v>
      </c>
      <c r="Q118" s="1" t="s">
        <v>627</v>
      </c>
      <c r="R118" s="5">
        <f t="shared" si="2"/>
        <v>15400</v>
      </c>
      <c r="S118" s="12">
        <f t="shared" si="3"/>
        <v>2675.933970460469</v>
      </c>
    </row>
    <row r="119" spans="1:19" ht="18.75" x14ac:dyDescent="0.4">
      <c r="A119" s="3" t="s">
        <v>236</v>
      </c>
      <c r="B119" s="6" t="s">
        <v>646</v>
      </c>
      <c r="C119" s="6" t="s">
        <v>522</v>
      </c>
      <c r="D119" s="7">
        <v>7245</v>
      </c>
      <c r="E119" s="2" t="s">
        <v>32</v>
      </c>
      <c r="F119" s="2" t="s">
        <v>95</v>
      </c>
      <c r="G119" s="6">
        <v>81</v>
      </c>
      <c r="H119" s="6"/>
      <c r="I119" s="6"/>
      <c r="J119" s="6"/>
      <c r="K119" s="2"/>
      <c r="L119" s="6"/>
      <c r="M119" s="6"/>
      <c r="N119" s="6"/>
      <c r="P119" s="1" t="s">
        <v>624</v>
      </c>
      <c r="Q119" s="1" t="s">
        <v>627</v>
      </c>
      <c r="R119" s="5">
        <f t="shared" si="2"/>
        <v>16200</v>
      </c>
      <c r="S119" s="12">
        <f t="shared" si="3"/>
        <v>2236.0248447204967</v>
      </c>
    </row>
    <row r="120" spans="1:19" ht="18.75" x14ac:dyDescent="0.4">
      <c r="A120" s="3" t="s">
        <v>237</v>
      </c>
      <c r="B120" s="6" t="s">
        <v>646</v>
      </c>
      <c r="C120" s="6" t="s">
        <v>523</v>
      </c>
      <c r="D120" s="7">
        <v>6382</v>
      </c>
      <c r="E120" s="2" t="s">
        <v>32</v>
      </c>
      <c r="F120" s="2" t="s">
        <v>95</v>
      </c>
      <c r="G120" s="6">
        <v>70</v>
      </c>
      <c r="H120" s="6"/>
      <c r="I120" s="6"/>
      <c r="J120" s="6"/>
      <c r="K120" s="2"/>
      <c r="L120" s="6"/>
      <c r="M120" s="6"/>
      <c r="N120" s="6"/>
      <c r="P120" s="1" t="s">
        <v>624</v>
      </c>
      <c r="Q120" s="1" t="s">
        <v>627</v>
      </c>
      <c r="R120" s="5">
        <f t="shared" si="2"/>
        <v>14000</v>
      </c>
      <c r="S120" s="12">
        <f t="shared" si="3"/>
        <v>2193.6696960200566</v>
      </c>
    </row>
    <row r="121" spans="1:19" ht="18.75" x14ac:dyDescent="0.4">
      <c r="A121" s="3" t="s">
        <v>238</v>
      </c>
      <c r="B121" s="6" t="s">
        <v>646</v>
      </c>
      <c r="C121" s="6" t="s">
        <v>524</v>
      </c>
      <c r="D121" s="7">
        <v>4733</v>
      </c>
      <c r="E121" s="2" t="s">
        <v>34</v>
      </c>
      <c r="F121" s="2" t="s">
        <v>96</v>
      </c>
      <c r="G121" s="6">
        <v>62</v>
      </c>
      <c r="H121" s="6"/>
      <c r="I121" s="6"/>
      <c r="J121" s="6"/>
      <c r="K121" s="2"/>
      <c r="L121" s="6"/>
      <c r="M121" s="6"/>
      <c r="N121" s="6"/>
      <c r="P121" s="1" t="s">
        <v>624</v>
      </c>
      <c r="Q121" s="1" t="s">
        <v>627</v>
      </c>
      <c r="R121" s="5">
        <f t="shared" si="2"/>
        <v>12400</v>
      </c>
      <c r="S121" s="12">
        <f t="shared" si="3"/>
        <v>2619.9028100570463</v>
      </c>
    </row>
    <row r="122" spans="1:19" ht="18.75" x14ac:dyDescent="0.4">
      <c r="A122" s="3" t="s">
        <v>239</v>
      </c>
      <c r="B122" s="6" t="s">
        <v>646</v>
      </c>
      <c r="C122" s="6" t="s">
        <v>525</v>
      </c>
      <c r="D122" s="7">
        <v>3796</v>
      </c>
      <c r="E122" s="2" t="s">
        <v>34</v>
      </c>
      <c r="F122" s="2" t="s">
        <v>96</v>
      </c>
      <c r="G122" s="6">
        <v>38</v>
      </c>
      <c r="H122" s="6"/>
      <c r="I122" s="6"/>
      <c r="J122" s="6"/>
      <c r="K122" s="2"/>
      <c r="L122" s="6"/>
      <c r="M122" s="6"/>
      <c r="N122" s="6"/>
      <c r="P122" s="1" t="s">
        <v>624</v>
      </c>
      <c r="Q122" s="1" t="s">
        <v>627</v>
      </c>
      <c r="R122" s="5">
        <f t="shared" si="2"/>
        <v>7600</v>
      </c>
      <c r="S122" s="12">
        <f t="shared" si="3"/>
        <v>2002.1074815595364</v>
      </c>
    </row>
    <row r="123" spans="1:19" ht="18.75" x14ac:dyDescent="0.4">
      <c r="A123" s="3" t="s">
        <v>240</v>
      </c>
      <c r="B123" s="6" t="s">
        <v>646</v>
      </c>
      <c r="C123" s="6" t="s">
        <v>526</v>
      </c>
      <c r="D123" s="7">
        <v>2158</v>
      </c>
      <c r="E123" s="2" t="s">
        <v>35</v>
      </c>
      <c r="F123" s="2" t="s">
        <v>97</v>
      </c>
      <c r="G123" s="6">
        <v>18</v>
      </c>
      <c r="H123" s="6"/>
      <c r="I123" s="6"/>
      <c r="J123" s="6"/>
      <c r="K123" s="2"/>
      <c r="L123" s="6"/>
      <c r="M123" s="6"/>
      <c r="N123" s="6"/>
      <c r="P123" s="1" t="s">
        <v>624</v>
      </c>
      <c r="Q123" s="1" t="s">
        <v>627</v>
      </c>
      <c r="R123" s="5">
        <f t="shared" si="2"/>
        <v>3600</v>
      </c>
      <c r="S123" s="12">
        <f t="shared" si="3"/>
        <v>1668.2113067655234</v>
      </c>
    </row>
    <row r="124" spans="1:19" ht="18.75" x14ac:dyDescent="0.4">
      <c r="A124" s="3" t="s">
        <v>241</v>
      </c>
      <c r="B124" s="6" t="s">
        <v>646</v>
      </c>
      <c r="C124" s="6" t="s">
        <v>527</v>
      </c>
      <c r="D124" s="7">
        <v>5500</v>
      </c>
      <c r="E124" s="2" t="s">
        <v>35</v>
      </c>
      <c r="F124" s="2" t="s">
        <v>97</v>
      </c>
      <c r="G124" s="6">
        <v>73</v>
      </c>
      <c r="H124" s="6"/>
      <c r="I124" s="6"/>
      <c r="J124" s="6"/>
      <c r="K124" s="2"/>
      <c r="L124" s="6"/>
      <c r="M124" s="6"/>
      <c r="N124" s="6"/>
      <c r="P124" s="1" t="s">
        <v>624</v>
      </c>
      <c r="Q124" s="1" t="s">
        <v>627</v>
      </c>
      <c r="R124" s="5">
        <f t="shared" si="2"/>
        <v>14600</v>
      </c>
      <c r="S124" s="12">
        <f t="shared" si="3"/>
        <v>2654.545454545455</v>
      </c>
    </row>
    <row r="125" spans="1:19" ht="18.75" x14ac:dyDescent="0.4">
      <c r="A125" s="3" t="s">
        <v>242</v>
      </c>
      <c r="B125" s="6" t="s">
        <v>646</v>
      </c>
      <c r="C125" s="6" t="s">
        <v>528</v>
      </c>
      <c r="D125" s="7">
        <v>2963</v>
      </c>
      <c r="E125" s="2" t="s">
        <v>35</v>
      </c>
      <c r="F125" s="2" t="s">
        <v>97</v>
      </c>
      <c r="G125" s="6">
        <v>35</v>
      </c>
      <c r="H125" s="6"/>
      <c r="I125" s="6"/>
      <c r="J125" s="6"/>
      <c r="K125" s="2"/>
      <c r="L125" s="6"/>
      <c r="M125" s="6"/>
      <c r="N125" s="6"/>
      <c r="P125" s="1" t="s">
        <v>624</v>
      </c>
      <c r="Q125" s="1" t="s">
        <v>627</v>
      </c>
      <c r="R125" s="5">
        <f t="shared" si="2"/>
        <v>7000</v>
      </c>
      <c r="S125" s="12">
        <f t="shared" si="3"/>
        <v>2362.4704691191359</v>
      </c>
    </row>
    <row r="126" spans="1:19" ht="18.75" x14ac:dyDescent="0.4">
      <c r="A126" s="3" t="s">
        <v>243</v>
      </c>
      <c r="B126" s="6" t="s">
        <v>647</v>
      </c>
      <c r="C126" s="6" t="s">
        <v>529</v>
      </c>
      <c r="D126" s="7">
        <v>6579</v>
      </c>
      <c r="E126" s="2" t="s">
        <v>1</v>
      </c>
      <c r="F126" s="2" t="s">
        <v>80</v>
      </c>
      <c r="G126" s="6">
        <v>73</v>
      </c>
      <c r="H126" s="6"/>
      <c r="I126" s="6"/>
      <c r="J126" s="6" t="s">
        <v>376</v>
      </c>
      <c r="K126" s="2" t="s">
        <v>3</v>
      </c>
      <c r="L126" s="6" t="s">
        <v>382</v>
      </c>
      <c r="M126" s="6"/>
      <c r="N126" s="6" t="s">
        <v>530</v>
      </c>
      <c r="P126" s="1" t="s">
        <v>118</v>
      </c>
      <c r="Q126" s="1" t="s">
        <v>627</v>
      </c>
      <c r="R126" s="5">
        <f t="shared" si="2"/>
        <v>14600</v>
      </c>
      <c r="S126" s="12">
        <f t="shared" si="3"/>
        <v>2219.1822465420278</v>
      </c>
    </row>
    <row r="127" spans="1:19" ht="18.75" x14ac:dyDescent="0.4">
      <c r="A127" s="3" t="s">
        <v>244</v>
      </c>
      <c r="B127" s="6" t="s">
        <v>647</v>
      </c>
      <c r="C127" s="6" t="s">
        <v>531</v>
      </c>
      <c r="D127" s="7">
        <v>5638</v>
      </c>
      <c r="E127" s="2" t="s">
        <v>1</v>
      </c>
      <c r="F127" s="2" t="s">
        <v>80</v>
      </c>
      <c r="G127" s="6">
        <v>66</v>
      </c>
      <c r="H127" s="6"/>
      <c r="I127" s="6"/>
      <c r="J127" s="6" t="s">
        <v>385</v>
      </c>
      <c r="K127" s="2" t="s">
        <v>532</v>
      </c>
      <c r="L127" s="6" t="s">
        <v>386</v>
      </c>
      <c r="M127" s="6" t="s">
        <v>533</v>
      </c>
      <c r="N127" s="6" t="s">
        <v>534</v>
      </c>
      <c r="P127" s="1" t="s">
        <v>118</v>
      </c>
      <c r="Q127" s="1" t="s">
        <v>627</v>
      </c>
      <c r="R127" s="5">
        <f t="shared" si="2"/>
        <v>13200</v>
      </c>
      <c r="S127" s="12">
        <f t="shared" si="3"/>
        <v>2341.2557644554804</v>
      </c>
    </row>
    <row r="128" spans="1:19" ht="18.75" x14ac:dyDescent="0.4">
      <c r="A128" s="3" t="s">
        <v>245</v>
      </c>
      <c r="B128" s="6" t="s">
        <v>647</v>
      </c>
      <c r="C128" s="6" t="s">
        <v>535</v>
      </c>
      <c r="D128" s="7">
        <v>5793</v>
      </c>
      <c r="E128" s="2" t="s">
        <v>5</v>
      </c>
      <c r="F128" s="2" t="s">
        <v>92</v>
      </c>
      <c r="G128" s="6">
        <v>49</v>
      </c>
      <c r="H128" s="6"/>
      <c r="I128" s="6"/>
      <c r="J128" s="6" t="s">
        <v>385</v>
      </c>
      <c r="K128" s="2" t="s">
        <v>7</v>
      </c>
      <c r="L128" s="6" t="s">
        <v>386</v>
      </c>
      <c r="M128" s="6"/>
      <c r="N128" s="6" t="s">
        <v>534</v>
      </c>
      <c r="P128" s="1" t="s">
        <v>118</v>
      </c>
      <c r="Q128" s="1" t="s">
        <v>627</v>
      </c>
      <c r="R128" s="5">
        <f t="shared" si="2"/>
        <v>9800</v>
      </c>
      <c r="S128" s="12">
        <f t="shared" si="3"/>
        <v>1691.6968755394441</v>
      </c>
    </row>
    <row r="129" spans="1:19" ht="18.75" x14ac:dyDescent="0.4">
      <c r="A129" s="3" t="s">
        <v>246</v>
      </c>
      <c r="B129" s="6" t="s">
        <v>647</v>
      </c>
      <c r="C129" s="6" t="s">
        <v>536</v>
      </c>
      <c r="D129" s="7">
        <v>7507</v>
      </c>
      <c r="E129" s="2" t="s">
        <v>5</v>
      </c>
      <c r="F129" s="2" t="s">
        <v>92</v>
      </c>
      <c r="G129" s="6">
        <v>54</v>
      </c>
      <c r="H129" s="6"/>
      <c r="I129" s="6"/>
      <c r="J129" s="6" t="s">
        <v>385</v>
      </c>
      <c r="K129" s="2" t="s">
        <v>537</v>
      </c>
      <c r="L129" s="6" t="s">
        <v>386</v>
      </c>
      <c r="M129" s="6" t="s">
        <v>538</v>
      </c>
      <c r="N129" s="6" t="s">
        <v>534</v>
      </c>
      <c r="P129" s="1" t="s">
        <v>118</v>
      </c>
      <c r="Q129" s="1" t="s">
        <v>627</v>
      </c>
      <c r="R129" s="5">
        <f t="shared" si="2"/>
        <v>10800</v>
      </c>
      <c r="S129" s="12">
        <f t="shared" si="3"/>
        <v>1438.6572532303182</v>
      </c>
    </row>
    <row r="130" spans="1:19" ht="18.75" x14ac:dyDescent="0.4">
      <c r="A130" s="3" t="s">
        <v>247</v>
      </c>
      <c r="B130" s="6" t="s">
        <v>647</v>
      </c>
      <c r="C130" s="6" t="s">
        <v>539</v>
      </c>
      <c r="D130" s="7">
        <v>9459</v>
      </c>
      <c r="E130" s="2" t="s">
        <v>4</v>
      </c>
      <c r="F130" s="2" t="s">
        <v>93</v>
      </c>
      <c r="G130" s="6">
        <v>102</v>
      </c>
      <c r="H130" s="6"/>
      <c r="I130" s="6"/>
      <c r="J130" s="6" t="s">
        <v>385</v>
      </c>
      <c r="K130" s="2" t="s">
        <v>6</v>
      </c>
      <c r="L130" s="6" t="s">
        <v>386</v>
      </c>
      <c r="M130" s="6"/>
      <c r="N130" s="6" t="s">
        <v>534</v>
      </c>
      <c r="P130" s="1" t="s">
        <v>118</v>
      </c>
      <c r="Q130" s="1" t="s">
        <v>627</v>
      </c>
      <c r="R130" s="5">
        <f t="shared" si="2"/>
        <v>20400</v>
      </c>
      <c r="S130" s="12">
        <f t="shared" si="3"/>
        <v>2156.6761814145257</v>
      </c>
    </row>
    <row r="131" spans="1:19" ht="18.75" x14ac:dyDescent="0.4">
      <c r="A131" s="3" t="s">
        <v>248</v>
      </c>
      <c r="B131" s="6" t="s">
        <v>647</v>
      </c>
      <c r="C131" s="6" t="s">
        <v>540</v>
      </c>
      <c r="D131" s="7">
        <v>8592</v>
      </c>
      <c r="E131" s="2" t="s">
        <v>29</v>
      </c>
      <c r="F131" s="2" t="s">
        <v>98</v>
      </c>
      <c r="G131" s="6"/>
      <c r="H131" s="6"/>
      <c r="I131" s="6">
        <v>74</v>
      </c>
      <c r="J131" s="6"/>
      <c r="K131" s="2"/>
      <c r="L131" s="6"/>
      <c r="M131" s="6"/>
      <c r="N131" s="6"/>
      <c r="P131" s="1" t="s">
        <v>623</v>
      </c>
      <c r="Q131" s="1" t="s">
        <v>627</v>
      </c>
      <c r="R131" s="5">
        <f t="shared" ref="R131:R194" si="4">SUM(200*$G131+250*$H131+300*$I131)</f>
        <v>22200</v>
      </c>
      <c r="S131" s="12">
        <f t="shared" ref="S131:S194" si="5">R131/D131*1000</f>
        <v>2583.798882681564</v>
      </c>
    </row>
    <row r="132" spans="1:19" ht="18.75" x14ac:dyDescent="0.4">
      <c r="A132" s="3" t="s">
        <v>249</v>
      </c>
      <c r="B132" s="6" t="s">
        <v>647</v>
      </c>
      <c r="C132" s="6" t="s">
        <v>541</v>
      </c>
      <c r="D132" s="7">
        <v>5877</v>
      </c>
      <c r="E132" s="2" t="s">
        <v>31</v>
      </c>
      <c r="F132" s="2" t="s">
        <v>99</v>
      </c>
      <c r="G132" s="6"/>
      <c r="H132" s="6"/>
      <c r="I132" s="6">
        <v>56</v>
      </c>
      <c r="J132" s="6"/>
      <c r="K132" s="2"/>
      <c r="L132" s="6"/>
      <c r="M132" s="6"/>
      <c r="N132" s="6"/>
      <c r="P132" s="1" t="s">
        <v>623</v>
      </c>
      <c r="Q132" s="1" t="s">
        <v>627</v>
      </c>
      <c r="R132" s="5">
        <f t="shared" si="4"/>
        <v>16800</v>
      </c>
      <c r="S132" s="12">
        <f t="shared" si="5"/>
        <v>2858.6013272077594</v>
      </c>
    </row>
    <row r="133" spans="1:19" ht="18.75" x14ac:dyDescent="0.4">
      <c r="A133" s="3" t="s">
        <v>250</v>
      </c>
      <c r="B133" s="6" t="s">
        <v>647</v>
      </c>
      <c r="C133" s="6" t="s">
        <v>542</v>
      </c>
      <c r="D133" s="7">
        <v>2913</v>
      </c>
      <c r="E133" s="2" t="s">
        <v>30</v>
      </c>
      <c r="F133" s="2" t="s">
        <v>100</v>
      </c>
      <c r="G133" s="6"/>
      <c r="H133" s="6"/>
      <c r="I133" s="6">
        <v>25</v>
      </c>
      <c r="J133" s="6"/>
      <c r="K133" s="2"/>
      <c r="L133" s="6"/>
      <c r="M133" s="6"/>
      <c r="N133" s="6"/>
      <c r="P133" s="1" t="s">
        <v>623</v>
      </c>
      <c r="Q133" s="1" t="s">
        <v>627</v>
      </c>
      <c r="R133" s="5">
        <f t="shared" si="4"/>
        <v>7500</v>
      </c>
      <c r="S133" s="12">
        <f t="shared" si="5"/>
        <v>2574.6652935118432</v>
      </c>
    </row>
    <row r="134" spans="1:19" ht="18.75" x14ac:dyDescent="0.4">
      <c r="A134" s="3" t="s">
        <v>251</v>
      </c>
      <c r="B134" s="6" t="s">
        <v>647</v>
      </c>
      <c r="C134" s="6" t="s">
        <v>543</v>
      </c>
      <c r="D134" s="7">
        <v>2920</v>
      </c>
      <c r="E134" s="2" t="s">
        <v>30</v>
      </c>
      <c r="F134" s="2" t="s">
        <v>100</v>
      </c>
      <c r="G134" s="6"/>
      <c r="H134" s="6"/>
      <c r="I134" s="6">
        <v>26</v>
      </c>
      <c r="J134" s="6"/>
      <c r="K134" s="2"/>
      <c r="L134" s="6"/>
      <c r="M134" s="6"/>
      <c r="N134" s="6"/>
      <c r="P134" s="1" t="s">
        <v>623</v>
      </c>
      <c r="Q134" s="1" t="s">
        <v>627</v>
      </c>
      <c r="R134" s="5">
        <f t="shared" si="4"/>
        <v>7800</v>
      </c>
      <c r="S134" s="12">
        <f t="shared" si="5"/>
        <v>2671.2328767123286</v>
      </c>
    </row>
    <row r="135" spans="1:19" ht="18.75" x14ac:dyDescent="0.4">
      <c r="A135" s="3" t="s">
        <v>252</v>
      </c>
      <c r="B135" s="6" t="s">
        <v>647</v>
      </c>
      <c r="C135" s="6" t="s">
        <v>544</v>
      </c>
      <c r="D135" s="7">
        <v>2914</v>
      </c>
      <c r="E135" s="2" t="s">
        <v>29</v>
      </c>
      <c r="F135" s="2" t="s">
        <v>98</v>
      </c>
      <c r="G135" s="6"/>
      <c r="H135" s="6"/>
      <c r="I135" s="6">
        <v>28</v>
      </c>
      <c r="J135" s="6"/>
      <c r="K135" s="2"/>
      <c r="L135" s="6"/>
      <c r="M135" s="6"/>
      <c r="N135" s="6"/>
      <c r="P135" s="1" t="s">
        <v>623</v>
      </c>
      <c r="Q135" s="1" t="s">
        <v>627</v>
      </c>
      <c r="R135" s="5">
        <f t="shared" si="4"/>
        <v>8400</v>
      </c>
      <c r="S135" s="12">
        <f t="shared" si="5"/>
        <v>2882.6355525051476</v>
      </c>
    </row>
    <row r="136" spans="1:19" ht="18.75" x14ac:dyDescent="0.4">
      <c r="A136" s="3" t="s">
        <v>253</v>
      </c>
      <c r="B136" s="6" t="s">
        <v>647</v>
      </c>
      <c r="C136" s="6" t="s">
        <v>545</v>
      </c>
      <c r="D136" s="7">
        <v>2521</v>
      </c>
      <c r="E136" s="2" t="s">
        <v>31</v>
      </c>
      <c r="F136" s="2" t="s">
        <v>99</v>
      </c>
      <c r="G136" s="6"/>
      <c r="H136" s="6"/>
      <c r="I136" s="6">
        <v>18</v>
      </c>
      <c r="J136" s="6"/>
      <c r="K136" s="2"/>
      <c r="L136" s="6"/>
      <c r="M136" s="6"/>
      <c r="N136" s="6"/>
      <c r="P136" s="1" t="s">
        <v>623</v>
      </c>
      <c r="Q136" s="1" t="s">
        <v>627</v>
      </c>
      <c r="R136" s="5">
        <f t="shared" si="4"/>
        <v>5400</v>
      </c>
      <c r="S136" s="12">
        <f t="shared" si="5"/>
        <v>2142.0071400238003</v>
      </c>
    </row>
    <row r="137" spans="1:19" ht="18.75" x14ac:dyDescent="0.4">
      <c r="A137" s="3" t="s">
        <v>254</v>
      </c>
      <c r="B137" s="6" t="s">
        <v>647</v>
      </c>
      <c r="C137" s="6" t="s">
        <v>546</v>
      </c>
      <c r="D137" s="7">
        <v>2887</v>
      </c>
      <c r="E137" s="2" t="s">
        <v>28</v>
      </c>
      <c r="F137" s="2" t="s">
        <v>94</v>
      </c>
      <c r="G137" s="6"/>
      <c r="H137" s="6"/>
      <c r="I137" s="6">
        <v>23</v>
      </c>
      <c r="J137" s="6"/>
      <c r="K137" s="2"/>
      <c r="L137" s="6"/>
      <c r="M137" s="6"/>
      <c r="N137" s="6"/>
      <c r="P137" s="1" t="s">
        <v>623</v>
      </c>
      <c r="Q137" s="1" t="s">
        <v>627</v>
      </c>
      <c r="R137" s="5">
        <f t="shared" si="4"/>
        <v>6900</v>
      </c>
      <c r="S137" s="12">
        <f t="shared" si="5"/>
        <v>2390.0242466227919</v>
      </c>
    </row>
    <row r="138" spans="1:19" ht="18.75" x14ac:dyDescent="0.4">
      <c r="A138" s="3" t="s">
        <v>255</v>
      </c>
      <c r="B138" s="6" t="s">
        <v>647</v>
      </c>
      <c r="C138" s="6" t="s">
        <v>547</v>
      </c>
      <c r="D138" s="7">
        <v>5839</v>
      </c>
      <c r="E138" s="2" t="s">
        <v>28</v>
      </c>
      <c r="F138" s="2" t="s">
        <v>94</v>
      </c>
      <c r="G138" s="6"/>
      <c r="H138" s="6"/>
      <c r="I138" s="6">
        <v>55</v>
      </c>
      <c r="J138" s="6"/>
      <c r="K138" s="2"/>
      <c r="L138" s="6"/>
      <c r="M138" s="6"/>
      <c r="N138" s="6"/>
      <c r="P138" s="1" t="s">
        <v>623</v>
      </c>
      <c r="Q138" s="1" t="s">
        <v>627</v>
      </c>
      <c r="R138" s="5">
        <f t="shared" si="4"/>
        <v>16500</v>
      </c>
      <c r="S138" s="12">
        <f t="shared" si="5"/>
        <v>2825.8263401267341</v>
      </c>
    </row>
    <row r="139" spans="1:19" ht="18.75" x14ac:dyDescent="0.4">
      <c r="A139" s="3" t="s">
        <v>256</v>
      </c>
      <c r="B139" s="6" t="s">
        <v>640</v>
      </c>
      <c r="C139" s="6" t="s">
        <v>548</v>
      </c>
      <c r="D139" s="7">
        <v>19795</v>
      </c>
      <c r="E139" s="2" t="s">
        <v>25</v>
      </c>
      <c r="F139" s="2" t="s">
        <v>101</v>
      </c>
      <c r="G139" s="6">
        <v>184</v>
      </c>
      <c r="H139" s="6"/>
      <c r="I139" s="6"/>
      <c r="J139" s="6"/>
      <c r="K139" s="2"/>
      <c r="L139" s="6"/>
      <c r="M139" s="6"/>
      <c r="N139" s="6"/>
      <c r="P139" s="1" t="s">
        <v>623</v>
      </c>
      <c r="Q139" s="1" t="s">
        <v>630</v>
      </c>
      <c r="R139" s="5">
        <f t="shared" si="4"/>
        <v>36800</v>
      </c>
      <c r="S139" s="12">
        <f t="shared" si="5"/>
        <v>1859.0553169992422</v>
      </c>
    </row>
    <row r="140" spans="1:19" ht="18.75" x14ac:dyDescent="0.4">
      <c r="A140" s="3" t="s">
        <v>257</v>
      </c>
      <c r="B140" s="6" t="s">
        <v>640</v>
      </c>
      <c r="C140" s="6" t="s">
        <v>549</v>
      </c>
      <c r="D140" s="7">
        <v>21320</v>
      </c>
      <c r="E140" s="2" t="s">
        <v>25</v>
      </c>
      <c r="F140" s="2" t="s">
        <v>101</v>
      </c>
      <c r="G140" s="6">
        <v>147</v>
      </c>
      <c r="H140" s="6"/>
      <c r="I140" s="6"/>
      <c r="J140" s="6"/>
      <c r="K140" s="2"/>
      <c r="L140" s="6"/>
      <c r="M140" s="6"/>
      <c r="N140" s="6"/>
      <c r="P140" s="1" t="s">
        <v>623</v>
      </c>
      <c r="Q140" s="1" t="s">
        <v>630</v>
      </c>
      <c r="R140" s="5">
        <f t="shared" si="4"/>
        <v>29400</v>
      </c>
      <c r="S140" s="12">
        <f t="shared" si="5"/>
        <v>1378.9868667917449</v>
      </c>
    </row>
    <row r="141" spans="1:19" ht="18.75" x14ac:dyDescent="0.4">
      <c r="A141" s="3" t="s">
        <v>258</v>
      </c>
      <c r="B141" s="6" t="s">
        <v>640</v>
      </c>
      <c r="C141" s="6" t="s">
        <v>550</v>
      </c>
      <c r="D141" s="7">
        <v>27147</v>
      </c>
      <c r="E141" s="2" t="s">
        <v>26</v>
      </c>
      <c r="F141" s="2" t="s">
        <v>102</v>
      </c>
      <c r="G141" s="6">
        <v>191</v>
      </c>
      <c r="H141" s="6"/>
      <c r="I141" s="6"/>
      <c r="J141" s="6"/>
      <c r="K141" s="2"/>
      <c r="L141" s="6"/>
      <c r="M141" s="6"/>
      <c r="N141" s="6"/>
      <c r="P141" s="1" t="s">
        <v>623</v>
      </c>
      <c r="Q141" s="1" t="s">
        <v>630</v>
      </c>
      <c r="R141" s="5">
        <f t="shared" si="4"/>
        <v>38200</v>
      </c>
      <c r="S141" s="12">
        <f t="shared" si="5"/>
        <v>1407.1536449699781</v>
      </c>
    </row>
    <row r="142" spans="1:19" ht="18.75" x14ac:dyDescent="0.4">
      <c r="A142" s="3" t="s">
        <v>259</v>
      </c>
      <c r="B142" s="6" t="s">
        <v>640</v>
      </c>
      <c r="C142" s="6" t="s">
        <v>551</v>
      </c>
      <c r="D142" s="7">
        <v>27028</v>
      </c>
      <c r="E142" s="2" t="s">
        <v>25</v>
      </c>
      <c r="F142" s="2" t="s">
        <v>101</v>
      </c>
      <c r="G142" s="6">
        <v>253</v>
      </c>
      <c r="H142" s="6"/>
      <c r="I142" s="6"/>
      <c r="J142" s="6"/>
      <c r="K142" s="2"/>
      <c r="L142" s="6"/>
      <c r="M142" s="6"/>
      <c r="N142" s="6"/>
      <c r="P142" s="1" t="s">
        <v>623</v>
      </c>
      <c r="Q142" s="1" t="s">
        <v>630</v>
      </c>
      <c r="R142" s="5">
        <f t="shared" si="4"/>
        <v>50600</v>
      </c>
      <c r="S142" s="12">
        <f t="shared" si="5"/>
        <v>1872.1326032262839</v>
      </c>
    </row>
    <row r="143" spans="1:19" ht="18.75" x14ac:dyDescent="0.4">
      <c r="A143" s="3" t="s">
        <v>260</v>
      </c>
      <c r="B143" s="6" t="s">
        <v>640</v>
      </c>
      <c r="C143" s="6" t="s">
        <v>552</v>
      </c>
      <c r="D143" s="7">
        <v>22707</v>
      </c>
      <c r="E143" s="2" t="s">
        <v>25</v>
      </c>
      <c r="F143" s="2" t="s">
        <v>101</v>
      </c>
      <c r="G143" s="6">
        <v>210</v>
      </c>
      <c r="H143" s="6"/>
      <c r="I143" s="6"/>
      <c r="J143" s="6"/>
      <c r="K143" s="2"/>
      <c r="L143" s="6"/>
      <c r="M143" s="6"/>
      <c r="N143" s="6"/>
      <c r="P143" s="1" t="s">
        <v>623</v>
      </c>
      <c r="Q143" s="1" t="s">
        <v>630</v>
      </c>
      <c r="R143" s="5">
        <f t="shared" si="4"/>
        <v>42000</v>
      </c>
      <c r="S143" s="12">
        <f t="shared" si="5"/>
        <v>1849.6498876998282</v>
      </c>
    </row>
    <row r="144" spans="1:19" ht="18.75" x14ac:dyDescent="0.4">
      <c r="A144" s="3" t="s">
        <v>261</v>
      </c>
      <c r="B144" s="6" t="s">
        <v>640</v>
      </c>
      <c r="C144" s="6" t="s">
        <v>553</v>
      </c>
      <c r="D144" s="7">
        <v>22800</v>
      </c>
      <c r="E144" s="2" t="s">
        <v>25</v>
      </c>
      <c r="F144" s="2" t="s">
        <v>101</v>
      </c>
      <c r="G144" s="6">
        <v>222</v>
      </c>
      <c r="H144" s="6"/>
      <c r="I144" s="6"/>
      <c r="J144" s="6"/>
      <c r="K144" s="2"/>
      <c r="L144" s="6"/>
      <c r="M144" s="6"/>
      <c r="N144" s="6"/>
      <c r="P144" s="1" t="s">
        <v>623</v>
      </c>
      <c r="Q144" s="1" t="s">
        <v>630</v>
      </c>
      <c r="R144" s="5">
        <f t="shared" si="4"/>
        <v>44400</v>
      </c>
      <c r="S144" s="12">
        <f t="shared" si="5"/>
        <v>1947.3684210526317</v>
      </c>
    </row>
    <row r="145" spans="1:19" x14ac:dyDescent="0.25">
      <c r="A145" s="3" t="s">
        <v>262</v>
      </c>
      <c r="B145" s="6" t="s">
        <v>637</v>
      </c>
      <c r="C145" s="6" t="s">
        <v>554</v>
      </c>
      <c r="D145" s="7">
        <v>2387</v>
      </c>
      <c r="E145" s="2" t="s">
        <v>24</v>
      </c>
      <c r="F145" s="2" t="s">
        <v>103</v>
      </c>
      <c r="G145" s="6"/>
      <c r="H145" s="6"/>
      <c r="I145" s="6">
        <v>26</v>
      </c>
      <c r="J145" s="8" t="s">
        <v>376</v>
      </c>
      <c r="K145" s="2" t="s">
        <v>555</v>
      </c>
      <c r="L145" s="6" t="s">
        <v>382</v>
      </c>
      <c r="M145" s="6" t="s">
        <v>556</v>
      </c>
      <c r="N145" s="6" t="s">
        <v>486</v>
      </c>
      <c r="P145" s="1" t="s">
        <v>625</v>
      </c>
      <c r="Q145" s="1" t="s">
        <v>627</v>
      </c>
      <c r="R145" s="5">
        <f t="shared" si="4"/>
        <v>7800</v>
      </c>
      <c r="S145" s="12">
        <f t="shared" si="5"/>
        <v>3267.7000418935904</v>
      </c>
    </row>
    <row r="146" spans="1:19" ht="18.75" x14ac:dyDescent="0.4">
      <c r="A146" s="3" t="s">
        <v>263</v>
      </c>
      <c r="B146" s="6" t="s">
        <v>637</v>
      </c>
      <c r="C146" s="6" t="s">
        <v>557</v>
      </c>
      <c r="D146" s="7">
        <v>9745</v>
      </c>
      <c r="E146" s="2" t="s">
        <v>23</v>
      </c>
      <c r="F146" s="2" t="s">
        <v>104</v>
      </c>
      <c r="G146" s="6"/>
      <c r="H146" s="6"/>
      <c r="I146" s="6">
        <v>99</v>
      </c>
      <c r="J146" s="6" t="s">
        <v>394</v>
      </c>
      <c r="K146" s="2" t="s">
        <v>558</v>
      </c>
      <c r="L146" s="6" t="s">
        <v>382</v>
      </c>
      <c r="M146" s="6" t="s">
        <v>559</v>
      </c>
      <c r="N146" s="6" t="s">
        <v>486</v>
      </c>
      <c r="P146" s="1" t="s">
        <v>625</v>
      </c>
      <c r="Q146" s="1" t="s">
        <v>627</v>
      </c>
      <c r="R146" s="5">
        <f t="shared" si="4"/>
        <v>29700</v>
      </c>
      <c r="S146" s="12">
        <f t="shared" si="5"/>
        <v>3047.7167778347871</v>
      </c>
    </row>
    <row r="147" spans="1:19" x14ac:dyDescent="0.25">
      <c r="A147" s="3" t="s">
        <v>264</v>
      </c>
      <c r="B147" s="6" t="s">
        <v>637</v>
      </c>
      <c r="C147" s="6" t="s">
        <v>560</v>
      </c>
      <c r="D147" s="7">
        <v>1131</v>
      </c>
      <c r="E147" s="2" t="s">
        <v>23</v>
      </c>
      <c r="F147" s="2" t="s">
        <v>104</v>
      </c>
      <c r="G147" s="6"/>
      <c r="H147" s="6"/>
      <c r="I147" s="6">
        <v>10</v>
      </c>
      <c r="J147" s="6"/>
      <c r="K147" s="2"/>
      <c r="L147" s="6"/>
      <c r="M147" s="6"/>
      <c r="N147" s="6"/>
      <c r="P147" s="1" t="s">
        <v>625</v>
      </c>
      <c r="Q147" s="1" t="s">
        <v>627</v>
      </c>
      <c r="R147" s="5">
        <f t="shared" si="4"/>
        <v>3000</v>
      </c>
      <c r="S147" s="12">
        <f t="shared" si="5"/>
        <v>2652.5198938992044</v>
      </c>
    </row>
    <row r="148" spans="1:19" x14ac:dyDescent="0.25">
      <c r="A148" s="3" t="s">
        <v>265</v>
      </c>
      <c r="B148" s="6" t="s">
        <v>637</v>
      </c>
      <c r="C148" s="6" t="s">
        <v>561</v>
      </c>
      <c r="D148" s="7">
        <v>862</v>
      </c>
      <c r="E148" s="2" t="s">
        <v>18</v>
      </c>
      <c r="F148" s="2" t="s">
        <v>79</v>
      </c>
      <c r="G148" s="6"/>
      <c r="H148" s="6"/>
      <c r="I148" s="6">
        <v>8</v>
      </c>
      <c r="J148" s="6"/>
      <c r="K148" s="2"/>
      <c r="L148" s="6"/>
      <c r="M148" s="6"/>
      <c r="N148" s="6"/>
      <c r="P148" s="1" t="s">
        <v>625</v>
      </c>
      <c r="Q148" s="1" t="s">
        <v>627</v>
      </c>
      <c r="R148" s="5">
        <f t="shared" si="4"/>
        <v>2400</v>
      </c>
      <c r="S148" s="12">
        <f t="shared" si="5"/>
        <v>2784.2227378190255</v>
      </c>
    </row>
    <row r="149" spans="1:19" x14ac:dyDescent="0.25">
      <c r="A149" s="3" t="s">
        <v>266</v>
      </c>
      <c r="B149" s="6" t="s">
        <v>637</v>
      </c>
      <c r="C149" s="6" t="s">
        <v>562</v>
      </c>
      <c r="D149" s="7">
        <v>2767</v>
      </c>
      <c r="E149" s="2" t="s">
        <v>23</v>
      </c>
      <c r="F149" s="2" t="s">
        <v>104</v>
      </c>
      <c r="G149" s="6"/>
      <c r="H149" s="6"/>
      <c r="I149" s="6">
        <v>29</v>
      </c>
      <c r="J149" s="6"/>
      <c r="K149" s="2"/>
      <c r="L149" s="6"/>
      <c r="M149" s="6"/>
      <c r="N149" s="6"/>
      <c r="P149" s="1" t="s">
        <v>625</v>
      </c>
      <c r="Q149" s="1" t="s">
        <v>627</v>
      </c>
      <c r="R149" s="5">
        <f t="shared" si="4"/>
        <v>8700</v>
      </c>
      <c r="S149" s="12">
        <f t="shared" si="5"/>
        <v>3144.1994940368631</v>
      </c>
    </row>
    <row r="150" spans="1:19" x14ac:dyDescent="0.25">
      <c r="A150" s="3" t="s">
        <v>267</v>
      </c>
      <c r="B150" s="6" t="s">
        <v>637</v>
      </c>
      <c r="C150" s="6" t="s">
        <v>563</v>
      </c>
      <c r="D150" s="7">
        <v>4498</v>
      </c>
      <c r="E150" s="2" t="s">
        <v>20</v>
      </c>
      <c r="F150" s="2" t="s">
        <v>105</v>
      </c>
      <c r="G150" s="6"/>
      <c r="H150" s="6"/>
      <c r="I150" s="6">
        <v>49</v>
      </c>
      <c r="J150" s="6"/>
      <c r="K150" s="2"/>
      <c r="L150" s="6"/>
      <c r="M150" s="6"/>
      <c r="N150" s="6"/>
      <c r="P150" s="1" t="s">
        <v>625</v>
      </c>
      <c r="Q150" s="1" t="s">
        <v>627</v>
      </c>
      <c r="R150" s="5">
        <f t="shared" si="4"/>
        <v>14700</v>
      </c>
      <c r="S150" s="12">
        <f t="shared" si="5"/>
        <v>3268.1191640729216</v>
      </c>
    </row>
    <row r="151" spans="1:19" x14ac:dyDescent="0.25">
      <c r="A151" s="3" t="s">
        <v>268</v>
      </c>
      <c r="B151" s="6" t="s">
        <v>637</v>
      </c>
      <c r="C151" s="6" t="s">
        <v>564</v>
      </c>
      <c r="D151" s="7">
        <v>1768</v>
      </c>
      <c r="E151" s="2" t="s">
        <v>20</v>
      </c>
      <c r="F151" s="2" t="s">
        <v>105</v>
      </c>
      <c r="G151" s="6"/>
      <c r="H151" s="6"/>
      <c r="I151" s="6">
        <v>19</v>
      </c>
      <c r="J151" s="6"/>
      <c r="K151" s="2"/>
      <c r="L151" s="6"/>
      <c r="M151" s="6"/>
      <c r="N151" s="6"/>
      <c r="P151" s="1" t="s">
        <v>625</v>
      </c>
      <c r="Q151" s="1" t="s">
        <v>627</v>
      </c>
      <c r="R151" s="5">
        <f t="shared" si="4"/>
        <v>5700</v>
      </c>
      <c r="S151" s="12">
        <f t="shared" si="5"/>
        <v>3223.9819004524888</v>
      </c>
    </row>
    <row r="152" spans="1:19" x14ac:dyDescent="0.25">
      <c r="A152" s="3" t="s">
        <v>269</v>
      </c>
      <c r="B152" s="6" t="s">
        <v>637</v>
      </c>
      <c r="C152" s="6" t="s">
        <v>565</v>
      </c>
      <c r="D152" s="7">
        <v>5590</v>
      </c>
      <c r="E152" s="2" t="s">
        <v>18</v>
      </c>
      <c r="F152" s="2" t="s">
        <v>79</v>
      </c>
      <c r="G152" s="6"/>
      <c r="H152" s="6"/>
      <c r="I152" s="6">
        <v>61</v>
      </c>
      <c r="J152" s="6"/>
      <c r="K152" s="2"/>
      <c r="L152" s="6"/>
      <c r="M152" s="6"/>
      <c r="N152" s="6"/>
      <c r="P152" s="1" t="s">
        <v>625</v>
      </c>
      <c r="Q152" s="1" t="s">
        <v>627</v>
      </c>
      <c r="R152" s="5">
        <f t="shared" si="4"/>
        <v>18300</v>
      </c>
      <c r="S152" s="12">
        <f t="shared" si="5"/>
        <v>3273.7030411449014</v>
      </c>
    </row>
    <row r="153" spans="1:19" x14ac:dyDescent="0.25">
      <c r="A153" s="3" t="s">
        <v>270</v>
      </c>
      <c r="B153" s="6" t="s">
        <v>637</v>
      </c>
      <c r="C153" s="6" t="s">
        <v>566</v>
      </c>
      <c r="D153" s="7">
        <v>4909</v>
      </c>
      <c r="E153" s="2" t="s">
        <v>20</v>
      </c>
      <c r="F153" s="2" t="s">
        <v>105</v>
      </c>
      <c r="G153" s="6"/>
      <c r="H153" s="6"/>
      <c r="I153" s="6">
        <v>56</v>
      </c>
      <c r="J153" s="6"/>
      <c r="K153" s="2"/>
      <c r="L153" s="6"/>
      <c r="M153" s="6"/>
      <c r="N153" s="6"/>
      <c r="P153" s="1" t="s">
        <v>625</v>
      </c>
      <c r="Q153" s="1" t="s">
        <v>627</v>
      </c>
      <c r="R153" s="5">
        <f t="shared" si="4"/>
        <v>16800</v>
      </c>
      <c r="S153" s="12">
        <f t="shared" si="5"/>
        <v>3422.2855978814423</v>
      </c>
    </row>
    <row r="154" spans="1:19" x14ac:dyDescent="0.25">
      <c r="A154" s="3" t="s">
        <v>271</v>
      </c>
      <c r="B154" s="6" t="s">
        <v>637</v>
      </c>
      <c r="C154" s="6" t="s">
        <v>567</v>
      </c>
      <c r="D154" s="7">
        <v>2795</v>
      </c>
      <c r="E154" s="2" t="s">
        <v>49</v>
      </c>
      <c r="F154" s="2" t="s">
        <v>106</v>
      </c>
      <c r="G154" s="6"/>
      <c r="H154" s="6"/>
      <c r="I154" s="6">
        <v>31</v>
      </c>
      <c r="J154" s="6"/>
      <c r="K154" s="2"/>
      <c r="L154" s="6"/>
      <c r="M154" s="6"/>
      <c r="N154" s="6"/>
      <c r="P154" s="1" t="s">
        <v>624</v>
      </c>
      <c r="Q154" s="1" t="s">
        <v>627</v>
      </c>
      <c r="R154" s="5">
        <f t="shared" si="4"/>
        <v>9300</v>
      </c>
      <c r="S154" s="12">
        <f t="shared" si="5"/>
        <v>3327.3703041144904</v>
      </c>
    </row>
    <row r="155" spans="1:19" x14ac:dyDescent="0.25">
      <c r="A155" s="3" t="s">
        <v>272</v>
      </c>
      <c r="B155" s="6" t="s">
        <v>637</v>
      </c>
      <c r="C155" s="6" t="s">
        <v>568</v>
      </c>
      <c r="D155" s="7">
        <v>4584</v>
      </c>
      <c r="E155" s="2" t="s">
        <v>49</v>
      </c>
      <c r="F155" s="2" t="s">
        <v>106</v>
      </c>
      <c r="G155" s="6"/>
      <c r="H155" s="6"/>
      <c r="I155" s="6">
        <v>69</v>
      </c>
      <c r="J155" s="6"/>
      <c r="K155" s="2"/>
      <c r="L155" s="6"/>
      <c r="M155" s="6"/>
      <c r="N155" s="6"/>
      <c r="P155" s="1" t="s">
        <v>624</v>
      </c>
      <c r="Q155" s="1" t="s">
        <v>627</v>
      </c>
      <c r="R155" s="5">
        <f t="shared" si="4"/>
        <v>20700</v>
      </c>
      <c r="S155" s="12">
        <f t="shared" si="5"/>
        <v>4515.706806282722</v>
      </c>
    </row>
    <row r="156" spans="1:19" x14ac:dyDescent="0.25">
      <c r="A156" s="3" t="s">
        <v>273</v>
      </c>
      <c r="B156" s="6" t="s">
        <v>637</v>
      </c>
      <c r="C156" s="6" t="s">
        <v>569</v>
      </c>
      <c r="D156" s="7">
        <v>3071</v>
      </c>
      <c r="E156" s="2" t="s">
        <v>49</v>
      </c>
      <c r="F156" s="2" t="s">
        <v>106</v>
      </c>
      <c r="G156" s="6"/>
      <c r="H156" s="6"/>
      <c r="I156" s="6">
        <v>45</v>
      </c>
      <c r="J156" s="6"/>
      <c r="K156" s="2"/>
      <c r="L156" s="6"/>
      <c r="M156" s="6"/>
      <c r="N156" s="6"/>
      <c r="P156" s="1" t="s">
        <v>624</v>
      </c>
      <c r="Q156" s="1" t="s">
        <v>627</v>
      </c>
      <c r="R156" s="5">
        <f t="shared" si="4"/>
        <v>13500</v>
      </c>
      <c r="S156" s="12">
        <f t="shared" si="5"/>
        <v>4395.9622272875285</v>
      </c>
    </row>
    <row r="157" spans="1:19" x14ac:dyDescent="0.25">
      <c r="A157" s="3" t="s">
        <v>274</v>
      </c>
      <c r="B157" s="6" t="s">
        <v>637</v>
      </c>
      <c r="C157" s="6" t="s">
        <v>570</v>
      </c>
      <c r="D157" s="7">
        <v>4656</v>
      </c>
      <c r="E157" s="2" t="s">
        <v>49</v>
      </c>
      <c r="F157" s="2" t="s">
        <v>106</v>
      </c>
      <c r="G157" s="6"/>
      <c r="H157" s="6"/>
      <c r="I157" s="6">
        <v>66</v>
      </c>
      <c r="J157" s="6"/>
      <c r="K157" s="2"/>
      <c r="L157" s="6"/>
      <c r="M157" s="6"/>
      <c r="N157" s="6"/>
      <c r="P157" s="1" t="s">
        <v>624</v>
      </c>
      <c r="Q157" s="1" t="s">
        <v>627</v>
      </c>
      <c r="R157" s="5">
        <f t="shared" si="4"/>
        <v>19800</v>
      </c>
      <c r="S157" s="12">
        <f t="shared" si="5"/>
        <v>4252.5773195876291</v>
      </c>
    </row>
    <row r="158" spans="1:19" x14ac:dyDescent="0.25">
      <c r="A158" s="3" t="s">
        <v>275</v>
      </c>
      <c r="B158" s="6" t="s">
        <v>637</v>
      </c>
      <c r="C158" s="6" t="s">
        <v>571</v>
      </c>
      <c r="D158" s="7">
        <v>1186</v>
      </c>
      <c r="E158" s="2" t="s">
        <v>49</v>
      </c>
      <c r="F158" s="2" t="s">
        <v>106</v>
      </c>
      <c r="G158" s="6"/>
      <c r="H158" s="6"/>
      <c r="I158" s="6">
        <v>12</v>
      </c>
      <c r="J158" s="6"/>
      <c r="K158" s="2"/>
      <c r="L158" s="6"/>
      <c r="M158" s="6"/>
      <c r="N158" s="6"/>
      <c r="P158" s="1" t="s">
        <v>624</v>
      </c>
      <c r="Q158" s="1" t="s">
        <v>627</v>
      </c>
      <c r="R158" s="5">
        <f t="shared" si="4"/>
        <v>3600</v>
      </c>
      <c r="S158" s="12">
        <f t="shared" si="5"/>
        <v>3035.4131534569983</v>
      </c>
    </row>
    <row r="159" spans="1:19" x14ac:dyDescent="0.25">
      <c r="A159" s="3" t="s">
        <v>276</v>
      </c>
      <c r="B159" s="6" t="s">
        <v>637</v>
      </c>
      <c r="C159" s="6" t="s">
        <v>572</v>
      </c>
      <c r="D159" s="7">
        <v>1750</v>
      </c>
      <c r="E159" s="2" t="s">
        <v>49</v>
      </c>
      <c r="F159" s="2" t="s">
        <v>106</v>
      </c>
      <c r="G159" s="6"/>
      <c r="H159" s="6"/>
      <c r="I159" s="6">
        <v>20</v>
      </c>
      <c r="J159" s="6"/>
      <c r="K159" s="2"/>
      <c r="L159" s="6"/>
      <c r="M159" s="6"/>
      <c r="N159" s="6"/>
      <c r="P159" s="1" t="s">
        <v>624</v>
      </c>
      <c r="Q159" s="1" t="s">
        <v>627</v>
      </c>
      <c r="R159" s="5">
        <f t="shared" si="4"/>
        <v>6000</v>
      </c>
      <c r="S159" s="12">
        <f t="shared" si="5"/>
        <v>3428.5714285714284</v>
      </c>
    </row>
    <row r="160" spans="1:19" x14ac:dyDescent="0.25">
      <c r="A160" s="3" t="s">
        <v>277</v>
      </c>
      <c r="B160" s="6" t="s">
        <v>637</v>
      </c>
      <c r="C160" s="6" t="s">
        <v>573</v>
      </c>
      <c r="D160" s="7">
        <v>3514</v>
      </c>
      <c r="E160" s="2" t="s">
        <v>49</v>
      </c>
      <c r="F160" s="2" t="s">
        <v>106</v>
      </c>
      <c r="G160" s="6"/>
      <c r="H160" s="6"/>
      <c r="I160" s="6">
        <v>44</v>
      </c>
      <c r="J160" s="6"/>
      <c r="K160" s="2"/>
      <c r="L160" s="6"/>
      <c r="M160" s="6"/>
      <c r="N160" s="6"/>
      <c r="P160" s="1" t="s">
        <v>624</v>
      </c>
      <c r="Q160" s="1" t="s">
        <v>627</v>
      </c>
      <c r="R160" s="5">
        <f t="shared" si="4"/>
        <v>13200</v>
      </c>
      <c r="S160" s="12">
        <f t="shared" si="5"/>
        <v>3756.4029595902102</v>
      </c>
    </row>
    <row r="161" spans="1:19" x14ac:dyDescent="0.25">
      <c r="A161" s="3" t="s">
        <v>278</v>
      </c>
      <c r="B161" s="6" t="s">
        <v>637</v>
      </c>
      <c r="C161" s="6" t="s">
        <v>574</v>
      </c>
      <c r="D161" s="7">
        <v>1760</v>
      </c>
      <c r="E161" s="2" t="s">
        <v>20</v>
      </c>
      <c r="F161" s="2" t="s">
        <v>105</v>
      </c>
      <c r="G161" s="6"/>
      <c r="H161" s="6"/>
      <c r="I161" s="6">
        <v>20</v>
      </c>
      <c r="J161" s="6"/>
      <c r="K161" s="2"/>
      <c r="L161" s="6"/>
      <c r="M161" s="6"/>
      <c r="N161" s="6"/>
      <c r="P161" s="1" t="s">
        <v>625</v>
      </c>
      <c r="Q161" s="1" t="s">
        <v>627</v>
      </c>
      <c r="R161" s="5">
        <f t="shared" si="4"/>
        <v>6000</v>
      </c>
      <c r="S161" s="12">
        <f t="shared" si="5"/>
        <v>3409.090909090909</v>
      </c>
    </row>
    <row r="162" spans="1:19" x14ac:dyDescent="0.25">
      <c r="A162" s="3" t="s">
        <v>279</v>
      </c>
      <c r="B162" s="6" t="s">
        <v>637</v>
      </c>
      <c r="C162" s="6" t="s">
        <v>575</v>
      </c>
      <c r="D162" s="7">
        <v>3093</v>
      </c>
      <c r="E162" s="2" t="s">
        <v>20</v>
      </c>
      <c r="F162" s="2" t="s">
        <v>105</v>
      </c>
      <c r="G162" s="6"/>
      <c r="H162" s="6"/>
      <c r="I162" s="6">
        <v>34</v>
      </c>
      <c r="J162" s="6"/>
      <c r="K162" s="2"/>
      <c r="L162" s="6"/>
      <c r="M162" s="6"/>
      <c r="N162" s="6"/>
      <c r="P162" s="1" t="s">
        <v>625</v>
      </c>
      <c r="Q162" s="1" t="s">
        <v>627</v>
      </c>
      <c r="R162" s="5">
        <f t="shared" si="4"/>
        <v>10200</v>
      </c>
      <c r="S162" s="12">
        <f t="shared" si="5"/>
        <v>3297.7691561590691</v>
      </c>
    </row>
    <row r="163" spans="1:19" x14ac:dyDescent="0.25">
      <c r="A163" s="3" t="s">
        <v>280</v>
      </c>
      <c r="B163" s="6" t="s">
        <v>638</v>
      </c>
      <c r="C163" s="6" t="s">
        <v>576</v>
      </c>
      <c r="D163" s="7">
        <v>3419</v>
      </c>
      <c r="E163" s="2" t="s">
        <v>50</v>
      </c>
      <c r="F163" s="2" t="s">
        <v>107</v>
      </c>
      <c r="G163" s="6"/>
      <c r="H163" s="6"/>
      <c r="I163" s="6">
        <v>29</v>
      </c>
      <c r="J163" s="6"/>
      <c r="K163" s="2"/>
      <c r="L163" s="6"/>
      <c r="M163" s="6"/>
      <c r="N163" s="6"/>
      <c r="P163" s="1" t="s">
        <v>624</v>
      </c>
      <c r="Q163" s="1" t="s">
        <v>627</v>
      </c>
      <c r="R163" s="5">
        <f t="shared" si="4"/>
        <v>8700</v>
      </c>
      <c r="S163" s="12">
        <f t="shared" si="5"/>
        <v>2544.6036852880961</v>
      </c>
    </row>
    <row r="164" spans="1:19" x14ac:dyDescent="0.25">
      <c r="A164" s="3" t="s">
        <v>281</v>
      </c>
      <c r="B164" s="6" t="s">
        <v>638</v>
      </c>
      <c r="C164" s="6" t="s">
        <v>577</v>
      </c>
      <c r="D164" s="7">
        <v>2149</v>
      </c>
      <c r="E164" s="2" t="s">
        <v>50</v>
      </c>
      <c r="F164" s="2" t="s">
        <v>107</v>
      </c>
      <c r="G164" s="6"/>
      <c r="H164" s="6"/>
      <c r="I164" s="6">
        <v>19</v>
      </c>
      <c r="J164" s="6"/>
      <c r="K164" s="2"/>
      <c r="L164" s="6"/>
      <c r="M164" s="6"/>
      <c r="N164" s="6"/>
      <c r="P164" s="1" t="s">
        <v>624</v>
      </c>
      <c r="Q164" s="1" t="s">
        <v>627</v>
      </c>
      <c r="R164" s="5">
        <f t="shared" si="4"/>
        <v>5700</v>
      </c>
      <c r="S164" s="12">
        <f t="shared" si="5"/>
        <v>2652.396463471382</v>
      </c>
    </row>
    <row r="165" spans="1:19" x14ac:dyDescent="0.25">
      <c r="A165" s="3" t="s">
        <v>282</v>
      </c>
      <c r="B165" s="6" t="s">
        <v>638</v>
      </c>
      <c r="C165" s="6" t="s">
        <v>578</v>
      </c>
      <c r="D165" s="7">
        <v>2748</v>
      </c>
      <c r="E165" s="2" t="s">
        <v>50</v>
      </c>
      <c r="F165" s="2" t="s">
        <v>107</v>
      </c>
      <c r="G165" s="6"/>
      <c r="H165" s="6"/>
      <c r="I165" s="6">
        <v>16</v>
      </c>
      <c r="J165" s="6"/>
      <c r="K165" s="2"/>
      <c r="L165" s="6"/>
      <c r="M165" s="6"/>
      <c r="N165" s="6"/>
      <c r="P165" s="1" t="s">
        <v>624</v>
      </c>
      <c r="Q165" s="1" t="s">
        <v>627</v>
      </c>
      <c r="R165" s="5">
        <f t="shared" si="4"/>
        <v>4800</v>
      </c>
      <c r="S165" s="12">
        <f t="shared" si="5"/>
        <v>1746.7248908296945</v>
      </c>
    </row>
    <row r="166" spans="1:19" x14ac:dyDescent="0.25">
      <c r="A166" s="3" t="s">
        <v>283</v>
      </c>
      <c r="B166" s="6" t="s">
        <v>638</v>
      </c>
      <c r="C166" s="6" t="s">
        <v>579</v>
      </c>
      <c r="D166" s="7">
        <v>2059</v>
      </c>
      <c r="E166" s="2" t="s">
        <v>50</v>
      </c>
      <c r="F166" s="2" t="s">
        <v>107</v>
      </c>
      <c r="G166" s="6"/>
      <c r="H166" s="6"/>
      <c r="I166" s="6">
        <v>15</v>
      </c>
      <c r="J166" s="6"/>
      <c r="K166" s="2"/>
      <c r="L166" s="6"/>
      <c r="M166" s="6"/>
      <c r="N166" s="6"/>
      <c r="P166" s="1" t="s">
        <v>624</v>
      </c>
      <c r="Q166" s="1" t="s">
        <v>627</v>
      </c>
      <c r="R166" s="5">
        <f t="shared" si="4"/>
        <v>4500</v>
      </c>
      <c r="S166" s="12">
        <f t="shared" si="5"/>
        <v>2185.5269548324427</v>
      </c>
    </row>
    <row r="167" spans="1:19" x14ac:dyDescent="0.25">
      <c r="A167" s="3" t="s">
        <v>284</v>
      </c>
      <c r="B167" s="6" t="s">
        <v>638</v>
      </c>
      <c r="C167" s="6" t="s">
        <v>580</v>
      </c>
      <c r="D167" s="7">
        <v>2940</v>
      </c>
      <c r="E167" s="2" t="s">
        <v>25</v>
      </c>
      <c r="F167" s="2" t="s">
        <v>101</v>
      </c>
      <c r="G167" s="6"/>
      <c r="H167" s="6"/>
      <c r="I167" s="6">
        <v>19</v>
      </c>
      <c r="J167" s="6"/>
      <c r="K167" s="2"/>
      <c r="L167" s="6"/>
      <c r="M167" s="6"/>
      <c r="N167" s="6"/>
      <c r="P167" s="1" t="s">
        <v>624</v>
      </c>
      <c r="Q167" s="1" t="s">
        <v>627</v>
      </c>
      <c r="R167" s="5">
        <f t="shared" si="4"/>
        <v>5700</v>
      </c>
      <c r="S167" s="12">
        <f t="shared" si="5"/>
        <v>1938.7755102040815</v>
      </c>
    </row>
    <row r="168" spans="1:19" x14ac:dyDescent="0.25">
      <c r="A168" s="3" t="s">
        <v>285</v>
      </c>
      <c r="B168" s="6" t="s">
        <v>638</v>
      </c>
      <c r="C168" s="6" t="s">
        <v>581</v>
      </c>
      <c r="D168" s="7">
        <v>2942</v>
      </c>
      <c r="E168" s="2" t="s">
        <v>33</v>
      </c>
      <c r="F168" s="2" t="s">
        <v>108</v>
      </c>
      <c r="G168" s="6"/>
      <c r="H168" s="6"/>
      <c r="I168" s="6">
        <v>24</v>
      </c>
      <c r="J168" s="6"/>
      <c r="K168" s="2"/>
      <c r="L168" s="6"/>
      <c r="M168" s="6"/>
      <c r="N168" s="6"/>
      <c r="P168" s="1" t="s">
        <v>624</v>
      </c>
      <c r="Q168" s="1" t="s">
        <v>627</v>
      </c>
      <c r="R168" s="5">
        <f t="shared" si="4"/>
        <v>7200</v>
      </c>
      <c r="S168" s="12">
        <f t="shared" si="5"/>
        <v>2447.3147518694764</v>
      </c>
    </row>
    <row r="169" spans="1:19" x14ac:dyDescent="0.25">
      <c r="A169" s="3" t="s">
        <v>286</v>
      </c>
      <c r="B169" s="6" t="s">
        <v>638</v>
      </c>
      <c r="C169" s="6" t="s">
        <v>582</v>
      </c>
      <c r="D169" s="7">
        <v>3320</v>
      </c>
      <c r="E169" s="2" t="s">
        <v>33</v>
      </c>
      <c r="F169" s="2" t="s">
        <v>108</v>
      </c>
      <c r="G169" s="6"/>
      <c r="H169" s="6"/>
      <c r="I169" s="6">
        <v>23</v>
      </c>
      <c r="J169" s="6"/>
      <c r="K169" s="2"/>
      <c r="L169" s="6"/>
      <c r="M169" s="6"/>
      <c r="N169" s="6"/>
      <c r="P169" s="1" t="s">
        <v>624</v>
      </c>
      <c r="Q169" s="1" t="s">
        <v>627</v>
      </c>
      <c r="R169" s="5">
        <f t="shared" si="4"/>
        <v>6900</v>
      </c>
      <c r="S169" s="12">
        <f t="shared" si="5"/>
        <v>2078.3132530120483</v>
      </c>
    </row>
    <row r="170" spans="1:19" x14ac:dyDescent="0.25">
      <c r="A170" s="3" t="s">
        <v>287</v>
      </c>
      <c r="B170" s="6" t="s">
        <v>638</v>
      </c>
      <c r="C170" s="6" t="s">
        <v>583</v>
      </c>
      <c r="D170" s="7">
        <v>2759</v>
      </c>
      <c r="E170" s="2" t="s">
        <v>33</v>
      </c>
      <c r="F170" s="2" t="s">
        <v>108</v>
      </c>
      <c r="G170" s="6"/>
      <c r="H170" s="6"/>
      <c r="I170" s="6">
        <v>16</v>
      </c>
      <c r="J170" s="6"/>
      <c r="K170" s="2"/>
      <c r="L170" s="6"/>
      <c r="M170" s="6"/>
      <c r="N170" s="6"/>
      <c r="P170" s="1" t="s">
        <v>624</v>
      </c>
      <c r="Q170" s="1" t="s">
        <v>627</v>
      </c>
      <c r="R170" s="5">
        <f t="shared" si="4"/>
        <v>4800</v>
      </c>
      <c r="S170" s="12">
        <f t="shared" si="5"/>
        <v>1739.7607828923522</v>
      </c>
    </row>
    <row r="171" spans="1:19" x14ac:dyDescent="0.25">
      <c r="A171" s="3" t="s">
        <v>288</v>
      </c>
      <c r="B171" s="6" t="s">
        <v>638</v>
      </c>
      <c r="C171" s="6" t="s">
        <v>584</v>
      </c>
      <c r="D171" s="7">
        <v>2296</v>
      </c>
      <c r="E171" s="2" t="s">
        <v>25</v>
      </c>
      <c r="F171" s="2" t="s">
        <v>101</v>
      </c>
      <c r="G171" s="6"/>
      <c r="H171" s="6"/>
      <c r="I171" s="6">
        <v>20</v>
      </c>
      <c r="J171" s="6"/>
      <c r="K171" s="2"/>
      <c r="L171" s="6"/>
      <c r="M171" s="6"/>
      <c r="N171" s="6"/>
      <c r="P171" s="1" t="s">
        <v>624</v>
      </c>
      <c r="Q171" s="1" t="s">
        <v>627</v>
      </c>
      <c r="R171" s="5">
        <f t="shared" si="4"/>
        <v>6000</v>
      </c>
      <c r="S171" s="12">
        <f t="shared" si="5"/>
        <v>2613.2404181184666</v>
      </c>
    </row>
    <row r="172" spans="1:19" x14ac:dyDescent="0.25">
      <c r="A172" s="3" t="s">
        <v>289</v>
      </c>
      <c r="B172" s="6" t="s">
        <v>638</v>
      </c>
      <c r="C172" s="6" t="s">
        <v>585</v>
      </c>
      <c r="D172" s="7">
        <v>2310</v>
      </c>
      <c r="E172" s="2" t="s">
        <v>25</v>
      </c>
      <c r="F172" s="2" t="s">
        <v>101</v>
      </c>
      <c r="G172" s="6"/>
      <c r="H172" s="6"/>
      <c r="I172" s="6">
        <v>10</v>
      </c>
      <c r="J172" s="6"/>
      <c r="K172" s="2"/>
      <c r="L172" s="6"/>
      <c r="M172" s="6"/>
      <c r="N172" s="6"/>
      <c r="P172" s="1" t="s">
        <v>624</v>
      </c>
      <c r="Q172" s="1" t="s">
        <v>627</v>
      </c>
      <c r="R172" s="5">
        <f t="shared" si="4"/>
        <v>3000</v>
      </c>
      <c r="S172" s="12">
        <f t="shared" si="5"/>
        <v>1298.7012987012986</v>
      </c>
    </row>
    <row r="173" spans="1:19" x14ac:dyDescent="0.25">
      <c r="A173" s="3" t="s">
        <v>290</v>
      </c>
      <c r="B173" s="6" t="s">
        <v>638</v>
      </c>
      <c r="C173" s="6" t="s">
        <v>586</v>
      </c>
      <c r="D173" s="7">
        <v>2332</v>
      </c>
      <c r="E173" s="2" t="s">
        <v>35</v>
      </c>
      <c r="F173" s="2" t="s">
        <v>97</v>
      </c>
      <c r="G173" s="6"/>
      <c r="H173" s="6"/>
      <c r="I173" s="6">
        <v>14</v>
      </c>
      <c r="J173" s="6"/>
      <c r="K173" s="2"/>
      <c r="L173" s="6"/>
      <c r="M173" s="6"/>
      <c r="N173" s="6"/>
      <c r="P173" s="1" t="s">
        <v>624</v>
      </c>
      <c r="Q173" s="1" t="s">
        <v>627</v>
      </c>
      <c r="R173" s="5">
        <f t="shared" si="4"/>
        <v>4200</v>
      </c>
      <c r="S173" s="12">
        <f t="shared" si="5"/>
        <v>1801.0291595197257</v>
      </c>
    </row>
    <row r="174" spans="1:19" x14ac:dyDescent="0.25">
      <c r="A174" s="3" t="s">
        <v>291</v>
      </c>
      <c r="B174" s="6" t="s">
        <v>638</v>
      </c>
      <c r="C174" s="6" t="s">
        <v>587</v>
      </c>
      <c r="D174" s="7">
        <v>3969</v>
      </c>
      <c r="E174" s="2" t="s">
        <v>35</v>
      </c>
      <c r="F174" s="2" t="s">
        <v>97</v>
      </c>
      <c r="G174" s="6"/>
      <c r="H174" s="6"/>
      <c r="I174" s="6">
        <v>34</v>
      </c>
      <c r="J174" s="6"/>
      <c r="K174" s="2"/>
      <c r="L174" s="6"/>
      <c r="M174" s="6"/>
      <c r="N174" s="6"/>
      <c r="P174" s="1" t="s">
        <v>624</v>
      </c>
      <c r="Q174" s="1" t="s">
        <v>627</v>
      </c>
      <c r="R174" s="5">
        <f t="shared" si="4"/>
        <v>10200</v>
      </c>
      <c r="S174" s="12">
        <f t="shared" si="5"/>
        <v>2569.9168556311411</v>
      </c>
    </row>
    <row r="175" spans="1:19" x14ac:dyDescent="0.25">
      <c r="A175" s="3" t="s">
        <v>292</v>
      </c>
      <c r="B175" s="6" t="s">
        <v>638</v>
      </c>
      <c r="C175" s="6" t="s">
        <v>588</v>
      </c>
      <c r="D175" s="7">
        <v>2229</v>
      </c>
      <c r="E175" s="2" t="s">
        <v>25</v>
      </c>
      <c r="F175" s="2" t="s">
        <v>101</v>
      </c>
      <c r="G175" s="6"/>
      <c r="H175" s="6"/>
      <c r="I175" s="6">
        <v>17</v>
      </c>
      <c r="J175" s="6"/>
      <c r="K175" s="2"/>
      <c r="L175" s="6"/>
      <c r="M175" s="6"/>
      <c r="N175" s="6"/>
      <c r="P175" s="1" t="s">
        <v>624</v>
      </c>
      <c r="Q175" s="1" t="s">
        <v>627</v>
      </c>
      <c r="R175" s="5">
        <f t="shared" si="4"/>
        <v>5100</v>
      </c>
      <c r="S175" s="12">
        <f t="shared" si="5"/>
        <v>2288.0215343203231</v>
      </c>
    </row>
    <row r="176" spans="1:19" x14ac:dyDescent="0.25">
      <c r="A176" s="3" t="s">
        <v>293</v>
      </c>
      <c r="B176" s="6" t="s">
        <v>638</v>
      </c>
      <c r="C176" s="6" t="s">
        <v>589</v>
      </c>
      <c r="D176" s="7">
        <v>2414</v>
      </c>
      <c r="E176" s="2" t="s">
        <v>25</v>
      </c>
      <c r="F176" s="2" t="s">
        <v>101</v>
      </c>
      <c r="G176" s="6"/>
      <c r="H176" s="6"/>
      <c r="I176" s="6">
        <v>18</v>
      </c>
      <c r="J176" s="6"/>
      <c r="K176" s="2"/>
      <c r="L176" s="6"/>
      <c r="M176" s="6"/>
      <c r="N176" s="6"/>
      <c r="P176" s="1" t="s">
        <v>624</v>
      </c>
      <c r="Q176" s="1" t="s">
        <v>627</v>
      </c>
      <c r="R176" s="5">
        <f t="shared" si="4"/>
        <v>5400</v>
      </c>
      <c r="S176" s="12">
        <f t="shared" si="5"/>
        <v>2236.9511184755593</v>
      </c>
    </row>
    <row r="177" spans="1:19" x14ac:dyDescent="0.25">
      <c r="A177" s="3" t="s">
        <v>294</v>
      </c>
      <c r="B177" s="6" t="s">
        <v>638</v>
      </c>
      <c r="C177" s="6" t="s">
        <v>590</v>
      </c>
      <c r="D177" s="7">
        <v>2949</v>
      </c>
      <c r="E177" s="2" t="s">
        <v>25</v>
      </c>
      <c r="F177" s="2" t="s">
        <v>101</v>
      </c>
      <c r="G177" s="6"/>
      <c r="H177" s="6"/>
      <c r="I177" s="6">
        <v>29</v>
      </c>
      <c r="J177" s="6"/>
      <c r="K177" s="2"/>
      <c r="L177" s="6"/>
      <c r="M177" s="6"/>
      <c r="N177" s="6"/>
      <c r="P177" s="1" t="s">
        <v>624</v>
      </c>
      <c r="Q177" s="1" t="s">
        <v>627</v>
      </c>
      <c r="R177" s="5">
        <f t="shared" si="4"/>
        <v>8700</v>
      </c>
      <c r="S177" s="12">
        <f t="shared" si="5"/>
        <v>2950.1525940996949</v>
      </c>
    </row>
    <row r="178" spans="1:19" ht="18.75" x14ac:dyDescent="0.4">
      <c r="A178" s="3" t="s">
        <v>295</v>
      </c>
      <c r="B178" s="6" t="s">
        <v>645</v>
      </c>
      <c r="C178" s="6" t="s">
        <v>591</v>
      </c>
      <c r="D178" s="7">
        <v>1044</v>
      </c>
      <c r="E178" s="2" t="s">
        <v>39</v>
      </c>
      <c r="F178" s="2" t="s">
        <v>109</v>
      </c>
      <c r="G178" s="6">
        <v>7</v>
      </c>
      <c r="H178" s="6"/>
      <c r="I178" s="6"/>
      <c r="J178" s="6"/>
      <c r="K178" s="2"/>
      <c r="L178" s="6"/>
      <c r="M178" s="6"/>
      <c r="N178" s="6"/>
      <c r="P178" s="1" t="s">
        <v>624</v>
      </c>
      <c r="Q178" s="1" t="s">
        <v>630</v>
      </c>
      <c r="R178" s="5">
        <f t="shared" si="4"/>
        <v>1400</v>
      </c>
      <c r="S178" s="12">
        <f t="shared" si="5"/>
        <v>1340.9961685823755</v>
      </c>
    </row>
    <row r="179" spans="1:19" ht="18.75" x14ac:dyDescent="0.4">
      <c r="A179" s="3" t="s">
        <v>296</v>
      </c>
      <c r="B179" s="6" t="s">
        <v>645</v>
      </c>
      <c r="C179" s="6" t="s">
        <v>592</v>
      </c>
      <c r="D179" s="7">
        <v>2579</v>
      </c>
      <c r="E179" s="2" t="s">
        <v>39</v>
      </c>
      <c r="F179" s="2" t="s">
        <v>109</v>
      </c>
      <c r="G179" s="6">
        <v>20</v>
      </c>
      <c r="H179" s="6"/>
      <c r="I179" s="6"/>
      <c r="J179" s="6"/>
      <c r="K179" s="2"/>
      <c r="L179" s="6"/>
      <c r="M179" s="6"/>
      <c r="N179" s="6"/>
      <c r="P179" s="1" t="s">
        <v>624</v>
      </c>
      <c r="Q179" s="1" t="s">
        <v>630</v>
      </c>
      <c r="R179" s="5">
        <f t="shared" si="4"/>
        <v>4000</v>
      </c>
      <c r="S179" s="12">
        <f t="shared" si="5"/>
        <v>1550.9887553315239</v>
      </c>
    </row>
    <row r="180" spans="1:19" ht="18.75" x14ac:dyDescent="0.4">
      <c r="A180" s="3" t="s">
        <v>297</v>
      </c>
      <c r="B180" s="6" t="s">
        <v>645</v>
      </c>
      <c r="C180" s="6" t="s">
        <v>593</v>
      </c>
      <c r="D180" s="7">
        <v>7128</v>
      </c>
      <c r="E180" s="2" t="s">
        <v>36</v>
      </c>
      <c r="F180" s="2" t="s">
        <v>81</v>
      </c>
      <c r="G180" s="6">
        <v>69</v>
      </c>
      <c r="H180" s="6"/>
      <c r="I180" s="6"/>
      <c r="J180" s="6"/>
      <c r="K180" s="2"/>
      <c r="L180" s="6"/>
      <c r="M180" s="6"/>
      <c r="N180" s="6"/>
      <c r="P180" s="1" t="s">
        <v>624</v>
      </c>
      <c r="Q180" s="1" t="s">
        <v>630</v>
      </c>
      <c r="R180" s="5">
        <f t="shared" si="4"/>
        <v>13800</v>
      </c>
      <c r="S180" s="12">
        <f t="shared" si="5"/>
        <v>1936.026936026936</v>
      </c>
    </row>
    <row r="181" spans="1:19" ht="18.75" x14ac:dyDescent="0.4">
      <c r="A181" s="3" t="s">
        <v>298</v>
      </c>
      <c r="B181" s="6" t="s">
        <v>645</v>
      </c>
      <c r="C181" s="6" t="s">
        <v>594</v>
      </c>
      <c r="D181" s="7">
        <v>4946</v>
      </c>
      <c r="E181" s="2" t="s">
        <v>36</v>
      </c>
      <c r="F181" s="2" t="s">
        <v>81</v>
      </c>
      <c r="G181" s="6">
        <v>54</v>
      </c>
      <c r="H181" s="6"/>
      <c r="I181" s="6"/>
      <c r="J181" s="6"/>
      <c r="K181" s="2"/>
      <c r="L181" s="6"/>
      <c r="M181" s="6"/>
      <c r="N181" s="6"/>
      <c r="P181" s="1" t="s">
        <v>624</v>
      </c>
      <c r="Q181" s="1" t="s">
        <v>630</v>
      </c>
      <c r="R181" s="5">
        <f t="shared" si="4"/>
        <v>10800</v>
      </c>
      <c r="S181" s="12">
        <f t="shared" si="5"/>
        <v>2183.5826930853214</v>
      </c>
    </row>
    <row r="182" spans="1:19" ht="18.75" x14ac:dyDescent="0.4">
      <c r="A182" s="3" t="s">
        <v>299</v>
      </c>
      <c r="B182" s="6" t="s">
        <v>645</v>
      </c>
      <c r="C182" s="6" t="s">
        <v>595</v>
      </c>
      <c r="D182" s="7">
        <v>7065</v>
      </c>
      <c r="E182" s="2" t="s">
        <v>36</v>
      </c>
      <c r="F182" s="2" t="s">
        <v>81</v>
      </c>
      <c r="G182" s="6">
        <v>73</v>
      </c>
      <c r="H182" s="6"/>
      <c r="I182" s="6"/>
      <c r="J182" s="6"/>
      <c r="K182" s="2"/>
      <c r="L182" s="6"/>
      <c r="M182" s="6"/>
      <c r="N182" s="6"/>
      <c r="P182" s="1" t="s">
        <v>624</v>
      </c>
      <c r="Q182" s="1" t="s">
        <v>630</v>
      </c>
      <c r="R182" s="5">
        <f t="shared" si="4"/>
        <v>14600</v>
      </c>
      <c r="S182" s="12">
        <f t="shared" si="5"/>
        <v>2066.5251238499645</v>
      </c>
    </row>
    <row r="183" spans="1:19" ht="18.75" x14ac:dyDescent="0.4">
      <c r="A183" s="3" t="s">
        <v>300</v>
      </c>
      <c r="B183" s="6" t="s">
        <v>645</v>
      </c>
      <c r="C183" s="6" t="s">
        <v>596</v>
      </c>
      <c r="D183" s="7">
        <v>6024</v>
      </c>
      <c r="E183" s="2" t="s">
        <v>37</v>
      </c>
      <c r="F183" s="2" t="s">
        <v>110</v>
      </c>
      <c r="G183" s="6">
        <v>58</v>
      </c>
      <c r="H183" s="6"/>
      <c r="I183" s="6"/>
      <c r="J183" s="6"/>
      <c r="K183" s="2"/>
      <c r="L183" s="6"/>
      <c r="M183" s="6"/>
      <c r="N183" s="6"/>
      <c r="P183" s="1" t="s">
        <v>624</v>
      </c>
      <c r="Q183" s="1" t="s">
        <v>630</v>
      </c>
      <c r="R183" s="5">
        <f t="shared" si="4"/>
        <v>11600</v>
      </c>
      <c r="S183" s="12">
        <f t="shared" si="5"/>
        <v>1925.6308100929616</v>
      </c>
    </row>
    <row r="184" spans="1:19" ht="18.75" x14ac:dyDescent="0.4">
      <c r="A184" s="3" t="s">
        <v>301</v>
      </c>
      <c r="B184" s="6" t="s">
        <v>645</v>
      </c>
      <c r="C184" s="6" t="s">
        <v>597</v>
      </c>
      <c r="D184" s="7">
        <v>3471</v>
      </c>
      <c r="E184" s="2" t="s">
        <v>40</v>
      </c>
      <c r="F184" s="2" t="s">
        <v>86</v>
      </c>
      <c r="G184" s="6">
        <v>28</v>
      </c>
      <c r="H184" s="6"/>
      <c r="I184" s="6"/>
      <c r="J184" s="6"/>
      <c r="K184" s="2"/>
      <c r="L184" s="6"/>
      <c r="M184" s="6"/>
      <c r="N184" s="6"/>
      <c r="P184" s="1" t="s">
        <v>624</v>
      </c>
      <c r="Q184" s="1" t="s">
        <v>630</v>
      </c>
      <c r="R184" s="5">
        <f t="shared" si="4"/>
        <v>5600</v>
      </c>
      <c r="S184" s="12">
        <f t="shared" si="5"/>
        <v>1613.3679055027369</v>
      </c>
    </row>
    <row r="185" spans="1:19" ht="18.75" x14ac:dyDescent="0.4">
      <c r="A185" s="3" t="s">
        <v>302</v>
      </c>
      <c r="B185" s="6" t="s">
        <v>645</v>
      </c>
      <c r="C185" s="6" t="s">
        <v>598</v>
      </c>
      <c r="D185" s="7">
        <v>5487</v>
      </c>
      <c r="E185" s="2" t="s">
        <v>40</v>
      </c>
      <c r="F185" s="2" t="s">
        <v>86</v>
      </c>
      <c r="G185" s="6">
        <v>42</v>
      </c>
      <c r="H185" s="6"/>
      <c r="I185" s="6"/>
      <c r="J185" s="6"/>
      <c r="K185" s="2"/>
      <c r="L185" s="6"/>
      <c r="M185" s="6"/>
      <c r="N185" s="6"/>
      <c r="P185" s="1" t="s">
        <v>624</v>
      </c>
      <c r="Q185" s="1" t="s">
        <v>630</v>
      </c>
      <c r="R185" s="5">
        <f t="shared" si="4"/>
        <v>8400</v>
      </c>
      <c r="S185" s="12">
        <f t="shared" si="5"/>
        <v>1530.8911973756151</v>
      </c>
    </row>
    <row r="186" spans="1:19" ht="18.75" x14ac:dyDescent="0.4">
      <c r="A186" s="3" t="s">
        <v>303</v>
      </c>
      <c r="B186" s="6" t="s">
        <v>645</v>
      </c>
      <c r="C186" s="6" t="s">
        <v>599</v>
      </c>
      <c r="D186" s="7">
        <v>3794</v>
      </c>
      <c r="E186" s="2" t="s">
        <v>39</v>
      </c>
      <c r="F186" s="2" t="s">
        <v>109</v>
      </c>
      <c r="G186" s="6">
        <v>24</v>
      </c>
      <c r="H186" s="6"/>
      <c r="I186" s="6"/>
      <c r="J186" s="6"/>
      <c r="K186" s="2"/>
      <c r="L186" s="6"/>
      <c r="M186" s="6"/>
      <c r="N186" s="6"/>
      <c r="P186" s="1" t="s">
        <v>624</v>
      </c>
      <c r="Q186" s="1" t="s">
        <v>630</v>
      </c>
      <c r="R186" s="5">
        <f t="shared" si="4"/>
        <v>4800</v>
      </c>
      <c r="S186" s="12">
        <f t="shared" si="5"/>
        <v>1265.155508697944</v>
      </c>
    </row>
    <row r="187" spans="1:19" ht="18.75" x14ac:dyDescent="0.4">
      <c r="A187" s="3" t="s">
        <v>304</v>
      </c>
      <c r="B187" s="6" t="s">
        <v>645</v>
      </c>
      <c r="C187" s="6" t="s">
        <v>600</v>
      </c>
      <c r="D187" s="7">
        <v>2376</v>
      </c>
      <c r="E187" s="2" t="s">
        <v>39</v>
      </c>
      <c r="F187" s="2" t="s">
        <v>109</v>
      </c>
      <c r="G187" s="6">
        <v>24</v>
      </c>
      <c r="H187" s="6"/>
      <c r="I187" s="6"/>
      <c r="J187" s="6"/>
      <c r="K187" s="2"/>
      <c r="L187" s="6"/>
      <c r="M187" s="6"/>
      <c r="N187" s="6"/>
      <c r="P187" s="1" t="s">
        <v>624</v>
      </c>
      <c r="Q187" s="1" t="s">
        <v>630</v>
      </c>
      <c r="R187" s="5">
        <f t="shared" si="4"/>
        <v>4800</v>
      </c>
      <c r="S187" s="12">
        <f t="shared" si="5"/>
        <v>2020.2020202020203</v>
      </c>
    </row>
    <row r="188" spans="1:19" ht="18.75" x14ac:dyDescent="0.4">
      <c r="A188" s="3" t="s">
        <v>305</v>
      </c>
      <c r="B188" s="6" t="s">
        <v>645</v>
      </c>
      <c r="C188" s="6" t="s">
        <v>601</v>
      </c>
      <c r="D188" s="7">
        <v>2702</v>
      </c>
      <c r="E188" s="2" t="s">
        <v>39</v>
      </c>
      <c r="F188" s="2" t="s">
        <v>109</v>
      </c>
      <c r="G188" s="6">
        <v>14</v>
      </c>
      <c r="H188" s="6"/>
      <c r="I188" s="6"/>
      <c r="J188" s="6"/>
      <c r="K188" s="2"/>
      <c r="L188" s="6"/>
      <c r="M188" s="6"/>
      <c r="N188" s="6"/>
      <c r="P188" s="1" t="s">
        <v>624</v>
      </c>
      <c r="Q188" s="1" t="s">
        <v>630</v>
      </c>
      <c r="R188" s="5">
        <f t="shared" si="4"/>
        <v>2800</v>
      </c>
      <c r="S188" s="12">
        <f t="shared" si="5"/>
        <v>1036.2694300518133</v>
      </c>
    </row>
    <row r="189" spans="1:19" ht="18.75" x14ac:dyDescent="0.4">
      <c r="A189" s="3" t="s">
        <v>306</v>
      </c>
      <c r="B189" s="6" t="s">
        <v>645</v>
      </c>
      <c r="C189" s="6" t="s">
        <v>602</v>
      </c>
      <c r="D189" s="7">
        <v>3325</v>
      </c>
      <c r="E189" s="2" t="s">
        <v>39</v>
      </c>
      <c r="F189" s="2" t="s">
        <v>109</v>
      </c>
      <c r="G189" s="6">
        <v>14</v>
      </c>
      <c r="H189" s="6"/>
      <c r="I189" s="6"/>
      <c r="J189" s="6"/>
      <c r="K189" s="2"/>
      <c r="L189" s="6"/>
      <c r="M189" s="6"/>
      <c r="N189" s="6"/>
      <c r="P189" s="1" t="s">
        <v>624</v>
      </c>
      <c r="Q189" s="1" t="s">
        <v>630</v>
      </c>
      <c r="R189" s="5">
        <f t="shared" si="4"/>
        <v>2800</v>
      </c>
      <c r="S189" s="12">
        <f t="shared" si="5"/>
        <v>842.10526315789468</v>
      </c>
    </row>
    <row r="190" spans="1:19" ht="18.75" x14ac:dyDescent="0.4">
      <c r="A190" s="3" t="s">
        <v>307</v>
      </c>
      <c r="B190" s="6" t="s">
        <v>645</v>
      </c>
      <c r="C190" s="6" t="s">
        <v>603</v>
      </c>
      <c r="D190" s="7">
        <v>3361</v>
      </c>
      <c r="E190" s="2" t="s">
        <v>38</v>
      </c>
      <c r="F190" s="2" t="s">
        <v>111</v>
      </c>
      <c r="G190" s="6">
        <v>26</v>
      </c>
      <c r="H190" s="6"/>
      <c r="I190" s="6"/>
      <c r="J190" s="6"/>
      <c r="K190" s="2"/>
      <c r="L190" s="6"/>
      <c r="M190" s="6"/>
      <c r="N190" s="6"/>
      <c r="P190" s="1" t="s">
        <v>624</v>
      </c>
      <c r="Q190" s="1" t="s">
        <v>630</v>
      </c>
      <c r="R190" s="5">
        <f t="shared" si="4"/>
        <v>5200</v>
      </c>
      <c r="S190" s="12">
        <f t="shared" si="5"/>
        <v>1547.158583754835</v>
      </c>
    </row>
    <row r="191" spans="1:19" ht="18.75" x14ac:dyDescent="0.4">
      <c r="A191" s="3" t="s">
        <v>308</v>
      </c>
      <c r="B191" s="6" t="s">
        <v>645</v>
      </c>
      <c r="C191" s="6" t="s">
        <v>604</v>
      </c>
      <c r="D191" s="7">
        <v>2937</v>
      </c>
      <c r="E191" s="2" t="s">
        <v>39</v>
      </c>
      <c r="F191" s="2" t="s">
        <v>109</v>
      </c>
      <c r="G191" s="6">
        <v>31</v>
      </c>
      <c r="H191" s="6"/>
      <c r="I191" s="6"/>
      <c r="J191" s="6"/>
      <c r="K191" s="2"/>
      <c r="L191" s="6"/>
      <c r="M191" s="6"/>
      <c r="N191" s="6"/>
      <c r="P191" s="1" t="s">
        <v>624</v>
      </c>
      <c r="Q191" s="1" t="s">
        <v>630</v>
      </c>
      <c r="R191" s="5">
        <f t="shared" si="4"/>
        <v>6200</v>
      </c>
      <c r="S191" s="12">
        <f t="shared" si="5"/>
        <v>2110.9976166155939</v>
      </c>
    </row>
    <row r="192" spans="1:19" ht="18.75" x14ac:dyDescent="0.4">
      <c r="A192" s="3" t="s">
        <v>309</v>
      </c>
      <c r="B192" s="6" t="s">
        <v>645</v>
      </c>
      <c r="C192" s="6" t="s">
        <v>605</v>
      </c>
      <c r="D192" s="7">
        <v>1653</v>
      </c>
      <c r="E192" s="2" t="s">
        <v>39</v>
      </c>
      <c r="F192" s="2" t="s">
        <v>109</v>
      </c>
      <c r="G192" s="6">
        <v>20</v>
      </c>
      <c r="H192" s="6"/>
      <c r="I192" s="6"/>
      <c r="J192" s="6"/>
      <c r="K192" s="2"/>
      <c r="L192" s="6"/>
      <c r="M192" s="6"/>
      <c r="N192" s="6"/>
      <c r="P192" s="1" t="s">
        <v>624</v>
      </c>
      <c r="Q192" s="1" t="s">
        <v>630</v>
      </c>
      <c r="R192" s="5">
        <f t="shared" si="4"/>
        <v>4000</v>
      </c>
      <c r="S192" s="12">
        <f t="shared" si="5"/>
        <v>2419.8427102238352</v>
      </c>
    </row>
    <row r="193" spans="1:19" ht="18.75" x14ac:dyDescent="0.4">
      <c r="A193" s="3" t="s">
        <v>310</v>
      </c>
      <c r="B193" s="6" t="s">
        <v>645</v>
      </c>
      <c r="C193" s="6" t="s">
        <v>606</v>
      </c>
      <c r="D193" s="7">
        <v>854</v>
      </c>
      <c r="E193" s="2" t="s">
        <v>39</v>
      </c>
      <c r="F193" s="2" t="s">
        <v>109</v>
      </c>
      <c r="G193" s="6">
        <v>8</v>
      </c>
      <c r="H193" s="6"/>
      <c r="I193" s="6"/>
      <c r="J193" s="6"/>
      <c r="K193" s="2"/>
      <c r="L193" s="6"/>
      <c r="M193" s="6"/>
      <c r="N193" s="6"/>
      <c r="P193" s="1" t="s">
        <v>624</v>
      </c>
      <c r="Q193" s="1" t="s">
        <v>630</v>
      </c>
      <c r="R193" s="5">
        <f t="shared" si="4"/>
        <v>1600</v>
      </c>
      <c r="S193" s="12">
        <f t="shared" si="5"/>
        <v>1873.5362997658081</v>
      </c>
    </row>
    <row r="194" spans="1:19" ht="18.75" x14ac:dyDescent="0.4">
      <c r="A194" s="3" t="s">
        <v>311</v>
      </c>
      <c r="B194" s="6" t="s">
        <v>645</v>
      </c>
      <c r="C194" s="6" t="s">
        <v>607</v>
      </c>
      <c r="D194" s="7">
        <v>2741</v>
      </c>
      <c r="E194" s="2" t="s">
        <v>38</v>
      </c>
      <c r="F194" s="2" t="s">
        <v>111</v>
      </c>
      <c r="G194" s="6">
        <v>19</v>
      </c>
      <c r="H194" s="6"/>
      <c r="I194" s="6"/>
      <c r="J194" s="6"/>
      <c r="K194" s="2"/>
      <c r="L194" s="6"/>
      <c r="M194" s="6"/>
      <c r="N194" s="6"/>
      <c r="P194" s="1" t="s">
        <v>624</v>
      </c>
      <c r="Q194" s="1" t="s">
        <v>630</v>
      </c>
      <c r="R194" s="5">
        <f t="shared" si="4"/>
        <v>3800</v>
      </c>
      <c r="S194" s="12">
        <f t="shared" si="5"/>
        <v>1386.3553447646843</v>
      </c>
    </row>
    <row r="195" spans="1:19" ht="18.75" x14ac:dyDescent="0.4">
      <c r="A195" s="3" t="s">
        <v>312</v>
      </c>
      <c r="B195" s="6" t="s">
        <v>645</v>
      </c>
      <c r="C195" s="6" t="s">
        <v>608</v>
      </c>
      <c r="D195" s="7">
        <v>2833</v>
      </c>
      <c r="E195" s="2" t="s">
        <v>38</v>
      </c>
      <c r="F195" s="2" t="s">
        <v>111</v>
      </c>
      <c r="G195" s="6">
        <v>21</v>
      </c>
      <c r="H195" s="6"/>
      <c r="I195" s="6"/>
      <c r="J195" s="6"/>
      <c r="K195" s="2"/>
      <c r="L195" s="6"/>
      <c r="M195" s="6"/>
      <c r="N195" s="6"/>
      <c r="P195" s="1" t="s">
        <v>624</v>
      </c>
      <c r="Q195" s="1" t="s">
        <v>630</v>
      </c>
      <c r="R195" s="5">
        <f t="shared" ref="R195:R204" si="6">SUM(200*$G195+250*$H195+300*$I195)</f>
        <v>4200</v>
      </c>
      <c r="S195" s="12">
        <f t="shared" ref="S195:S204" si="7">R195/D195*1000</f>
        <v>1482.5273561595482</v>
      </c>
    </row>
    <row r="196" spans="1:19" ht="18.75" x14ac:dyDescent="0.4">
      <c r="A196" s="3" t="s">
        <v>313</v>
      </c>
      <c r="B196" s="6" t="s">
        <v>645</v>
      </c>
      <c r="C196" s="6" t="s">
        <v>609</v>
      </c>
      <c r="D196" s="7">
        <v>1386</v>
      </c>
      <c r="E196" s="2" t="s">
        <v>38</v>
      </c>
      <c r="F196" s="2" t="s">
        <v>111</v>
      </c>
      <c r="G196" s="6">
        <v>11</v>
      </c>
      <c r="H196" s="6"/>
      <c r="I196" s="6"/>
      <c r="J196" s="6"/>
      <c r="K196" s="2"/>
      <c r="L196" s="6"/>
      <c r="M196" s="6"/>
      <c r="N196" s="6"/>
      <c r="P196" s="1" t="s">
        <v>624</v>
      </c>
      <c r="Q196" s="1" t="s">
        <v>630</v>
      </c>
      <c r="R196" s="5">
        <f t="shared" si="6"/>
        <v>2200</v>
      </c>
      <c r="S196" s="12">
        <f t="shared" si="7"/>
        <v>1587.3015873015872</v>
      </c>
    </row>
    <row r="197" spans="1:19" ht="18.75" x14ac:dyDescent="0.4">
      <c r="A197" s="3" t="s">
        <v>314</v>
      </c>
      <c r="B197" s="6" t="s">
        <v>645</v>
      </c>
      <c r="C197" s="6" t="s">
        <v>610</v>
      </c>
      <c r="D197" s="7">
        <v>3557</v>
      </c>
      <c r="E197" s="2" t="s">
        <v>38</v>
      </c>
      <c r="F197" s="2" t="s">
        <v>111</v>
      </c>
      <c r="G197" s="6">
        <v>33</v>
      </c>
      <c r="H197" s="6"/>
      <c r="I197" s="6"/>
      <c r="J197" s="6"/>
      <c r="K197" s="2"/>
      <c r="L197" s="6"/>
      <c r="M197" s="6"/>
      <c r="N197" s="6"/>
      <c r="P197" s="1" t="s">
        <v>624</v>
      </c>
      <c r="Q197" s="1" t="s">
        <v>630</v>
      </c>
      <c r="R197" s="5">
        <f t="shared" si="6"/>
        <v>6600</v>
      </c>
      <c r="S197" s="12">
        <f t="shared" si="7"/>
        <v>1855.4962046668541</v>
      </c>
    </row>
    <row r="198" spans="1:19" ht="18.75" x14ac:dyDescent="0.4">
      <c r="A198" s="3" t="s">
        <v>315</v>
      </c>
      <c r="B198" s="6" t="s">
        <v>645</v>
      </c>
      <c r="C198" s="6" t="s">
        <v>611</v>
      </c>
      <c r="D198" s="7">
        <v>1483</v>
      </c>
      <c r="E198" s="2" t="s">
        <v>37</v>
      </c>
      <c r="F198" s="2" t="s">
        <v>110</v>
      </c>
      <c r="G198" s="6">
        <v>7</v>
      </c>
      <c r="H198" s="6"/>
      <c r="I198" s="6"/>
      <c r="J198" s="6"/>
      <c r="K198" s="2"/>
      <c r="L198" s="6"/>
      <c r="M198" s="6"/>
      <c r="N198" s="6"/>
      <c r="P198" s="1" t="s">
        <v>624</v>
      </c>
      <c r="Q198" s="1" t="s">
        <v>630</v>
      </c>
      <c r="R198" s="5">
        <f t="shared" si="6"/>
        <v>1400</v>
      </c>
      <c r="S198" s="12">
        <f t="shared" si="7"/>
        <v>944.03236682400541</v>
      </c>
    </row>
    <row r="199" spans="1:19" ht="18.75" x14ac:dyDescent="0.4">
      <c r="A199" s="3" t="s">
        <v>316</v>
      </c>
      <c r="B199" s="6" t="s">
        <v>645</v>
      </c>
      <c r="C199" s="6" t="s">
        <v>612</v>
      </c>
      <c r="D199" s="7">
        <v>6071</v>
      </c>
      <c r="E199" s="2" t="s">
        <v>36</v>
      </c>
      <c r="F199" s="2" t="s">
        <v>81</v>
      </c>
      <c r="G199" s="6">
        <v>62</v>
      </c>
      <c r="H199" s="6"/>
      <c r="I199" s="6"/>
      <c r="J199" s="6"/>
      <c r="K199" s="2"/>
      <c r="L199" s="6"/>
      <c r="M199" s="6"/>
      <c r="N199" s="6"/>
      <c r="P199" s="1" t="s">
        <v>624</v>
      </c>
      <c r="Q199" s="1" t="s">
        <v>630</v>
      </c>
      <c r="R199" s="5">
        <f t="shared" si="6"/>
        <v>12400</v>
      </c>
      <c r="S199" s="12">
        <f t="shared" si="7"/>
        <v>2042.4971174435841</v>
      </c>
    </row>
    <row r="200" spans="1:19" ht="18.75" x14ac:dyDescent="0.4">
      <c r="A200" s="3" t="s">
        <v>317</v>
      </c>
      <c r="B200" s="6" t="s">
        <v>648</v>
      </c>
      <c r="C200" s="6" t="s">
        <v>613</v>
      </c>
      <c r="D200" s="7">
        <v>7203</v>
      </c>
      <c r="E200" s="2" t="s">
        <v>117</v>
      </c>
      <c r="F200" s="2" t="s">
        <v>15</v>
      </c>
      <c r="G200" s="6">
        <v>107</v>
      </c>
      <c r="H200" s="6"/>
      <c r="I200" s="6"/>
      <c r="J200" s="6" t="s">
        <v>379</v>
      </c>
      <c r="K200" s="2" t="s">
        <v>22</v>
      </c>
      <c r="L200" s="6" t="s">
        <v>614</v>
      </c>
      <c r="M200" s="6"/>
      <c r="N200" s="6" t="s">
        <v>383</v>
      </c>
      <c r="P200" s="1" t="s">
        <v>623</v>
      </c>
      <c r="Q200" s="1" t="s">
        <v>627</v>
      </c>
      <c r="R200" s="5">
        <f t="shared" si="6"/>
        <v>21400</v>
      </c>
      <c r="S200" s="12">
        <f t="shared" si="7"/>
        <v>2970.9843120921837</v>
      </c>
    </row>
    <row r="201" spans="1:19" ht="18.75" x14ac:dyDescent="0.4">
      <c r="A201" s="3" t="s">
        <v>318</v>
      </c>
      <c r="B201" s="6" t="s">
        <v>648</v>
      </c>
      <c r="C201" s="6" t="s">
        <v>615</v>
      </c>
      <c r="D201" s="7">
        <v>9695</v>
      </c>
      <c r="E201" s="2" t="s">
        <v>14</v>
      </c>
      <c r="F201" s="2" t="s">
        <v>117</v>
      </c>
      <c r="G201" s="6">
        <v>145</v>
      </c>
      <c r="H201" s="6"/>
      <c r="I201" s="6"/>
      <c r="J201" s="6" t="s">
        <v>379</v>
      </c>
      <c r="K201" s="2" t="s">
        <v>616</v>
      </c>
      <c r="L201" s="6" t="s">
        <v>614</v>
      </c>
      <c r="M201" s="6" t="s">
        <v>617</v>
      </c>
      <c r="N201" s="6" t="s">
        <v>383</v>
      </c>
      <c r="P201" s="1" t="s">
        <v>623</v>
      </c>
      <c r="Q201" s="1" t="s">
        <v>627</v>
      </c>
      <c r="R201" s="5">
        <f t="shared" si="6"/>
        <v>29000</v>
      </c>
      <c r="S201" s="12">
        <f t="shared" si="7"/>
        <v>2991.2325941206809</v>
      </c>
    </row>
    <row r="202" spans="1:19" ht="18.75" x14ac:dyDescent="0.4">
      <c r="A202" s="3" t="s">
        <v>319</v>
      </c>
      <c r="B202" s="6" t="s">
        <v>648</v>
      </c>
      <c r="C202" s="6" t="s">
        <v>618</v>
      </c>
      <c r="D202" s="7">
        <v>6615</v>
      </c>
      <c r="E202" s="2" t="s">
        <v>14</v>
      </c>
      <c r="F202" s="2" t="s">
        <v>112</v>
      </c>
      <c r="G202" s="6">
        <v>96</v>
      </c>
      <c r="H202" s="6"/>
      <c r="I202" s="6"/>
      <c r="J202" s="6" t="s">
        <v>379</v>
      </c>
      <c r="K202" s="2" t="s">
        <v>21</v>
      </c>
      <c r="L202" s="6" t="s">
        <v>614</v>
      </c>
      <c r="M202" s="6"/>
      <c r="N202" s="6" t="s">
        <v>383</v>
      </c>
      <c r="P202" s="1" t="s">
        <v>623</v>
      </c>
      <c r="Q202" s="1" t="s">
        <v>627</v>
      </c>
      <c r="R202" s="5">
        <f t="shared" si="6"/>
        <v>19200</v>
      </c>
      <c r="S202" s="12">
        <f t="shared" si="7"/>
        <v>2902.4943310657595</v>
      </c>
    </row>
    <row r="203" spans="1:19" ht="18.75" x14ac:dyDescent="0.4">
      <c r="A203" s="3" t="s">
        <v>320</v>
      </c>
      <c r="B203" s="6" t="s">
        <v>648</v>
      </c>
      <c r="C203" s="6" t="s">
        <v>619</v>
      </c>
      <c r="D203" s="7">
        <v>1545</v>
      </c>
      <c r="E203" s="2" t="s">
        <v>14</v>
      </c>
      <c r="F203" s="2" t="s">
        <v>112</v>
      </c>
      <c r="G203" s="6">
        <v>24</v>
      </c>
      <c r="H203" s="6"/>
      <c r="I203" s="6"/>
      <c r="J203" s="6" t="s">
        <v>379</v>
      </c>
      <c r="K203" s="2" t="s">
        <v>21</v>
      </c>
      <c r="L203" s="6" t="s">
        <v>614</v>
      </c>
      <c r="M203" s="6"/>
      <c r="N203" s="6" t="s">
        <v>383</v>
      </c>
      <c r="P203" s="1" t="s">
        <v>623</v>
      </c>
      <c r="Q203" s="1" t="s">
        <v>627</v>
      </c>
      <c r="R203" s="5">
        <f t="shared" si="6"/>
        <v>4800</v>
      </c>
      <c r="S203" s="12">
        <f t="shared" si="7"/>
        <v>3106.7961165048541</v>
      </c>
    </row>
    <row r="204" spans="1:19" ht="18.75" x14ac:dyDescent="0.4">
      <c r="A204" s="3" t="s">
        <v>321</v>
      </c>
      <c r="B204" s="6" t="s">
        <v>648</v>
      </c>
      <c r="C204" s="6" t="s">
        <v>620</v>
      </c>
      <c r="D204" s="7">
        <v>10447</v>
      </c>
      <c r="E204" s="2" t="s">
        <v>15</v>
      </c>
      <c r="F204" s="2" t="s">
        <v>113</v>
      </c>
      <c r="G204" s="6">
        <v>172</v>
      </c>
      <c r="H204" s="6"/>
      <c r="I204" s="6"/>
      <c r="J204" s="6" t="s">
        <v>379</v>
      </c>
      <c r="K204" s="2" t="s">
        <v>621</v>
      </c>
      <c r="L204" s="6" t="s">
        <v>614</v>
      </c>
      <c r="M204" s="6" t="s">
        <v>622</v>
      </c>
      <c r="N204" s="6" t="s">
        <v>383</v>
      </c>
      <c r="P204" s="1" t="s">
        <v>623</v>
      </c>
      <c r="Q204" s="1" t="s">
        <v>627</v>
      </c>
      <c r="R204" s="5">
        <f t="shared" si="6"/>
        <v>34400</v>
      </c>
      <c r="S204" s="12">
        <f t="shared" si="7"/>
        <v>3292.8113333971478</v>
      </c>
    </row>
    <row r="205" spans="1:19" x14ac:dyDescent="0.25">
      <c r="A205" s="3"/>
      <c r="B205" s="6"/>
      <c r="C205" s="6"/>
      <c r="D205" s="6"/>
      <c r="E205" s="2"/>
      <c r="F205" s="2"/>
      <c r="G205" s="6">
        <f>SUM(G200:G204)</f>
        <v>544</v>
      </c>
      <c r="H205" s="6">
        <f t="shared" ref="H205:I205" si="8">SUM(H200:H204)</f>
        <v>0</v>
      </c>
      <c r="I205" s="6">
        <f t="shared" si="8"/>
        <v>0</v>
      </c>
      <c r="J205" s="6"/>
      <c r="K205" s="2"/>
      <c r="L205" s="6"/>
      <c r="M205" s="6"/>
      <c r="N205" s="6"/>
    </row>
    <row r="206" spans="1:19" x14ac:dyDescent="0.25">
      <c r="A206" s="3"/>
      <c r="B206" s="6"/>
      <c r="C206" s="6"/>
      <c r="D206" s="6"/>
      <c r="E206" s="2"/>
      <c r="F206" s="2"/>
      <c r="G206" s="6"/>
      <c r="H206" s="6"/>
      <c r="I206" s="6"/>
      <c r="J206" s="6"/>
      <c r="K206" s="2"/>
      <c r="L206" s="6"/>
      <c r="M206" s="6"/>
      <c r="N206" s="6"/>
    </row>
    <row r="207" spans="1:19" x14ac:dyDescent="0.25">
      <c r="A207" s="3"/>
      <c r="B207" s="6"/>
      <c r="C207" s="6"/>
      <c r="D207" s="6"/>
      <c r="E207" s="6"/>
      <c r="F207" s="6"/>
      <c r="G207" s="6"/>
      <c r="H207" s="6"/>
      <c r="I207" s="6"/>
      <c r="J207" s="6"/>
      <c r="K207" s="2"/>
      <c r="L207" s="6"/>
      <c r="M207" s="6"/>
      <c r="N207" s="6"/>
    </row>
    <row r="208" spans="1:19" x14ac:dyDescent="0.25">
      <c r="A208" s="3"/>
      <c r="B208" s="6"/>
      <c r="C208" s="6"/>
      <c r="D208" s="6"/>
      <c r="E208" s="6"/>
      <c r="F208" s="6"/>
      <c r="G208" s="6"/>
      <c r="H208" s="6"/>
      <c r="I208" s="6"/>
      <c r="J208" s="6"/>
      <c r="K208" s="2"/>
      <c r="L208" s="6"/>
      <c r="M208" s="6"/>
      <c r="N208" s="6"/>
    </row>
    <row r="209" spans="1:14" x14ac:dyDescent="0.25">
      <c r="A209" s="3"/>
      <c r="B209" s="6"/>
      <c r="C209" s="6"/>
      <c r="D209" s="6"/>
      <c r="E209" s="6"/>
      <c r="F209" s="6"/>
      <c r="G209" s="6"/>
      <c r="H209" s="6"/>
      <c r="I209" s="6"/>
      <c r="J209" s="6"/>
      <c r="K209" s="2"/>
      <c r="L209" s="6"/>
      <c r="M209" s="6"/>
      <c r="N209" s="6"/>
    </row>
    <row r="210" spans="1:14" x14ac:dyDescent="0.25">
      <c r="A210" s="3"/>
      <c r="B210" s="6"/>
      <c r="C210" s="6"/>
      <c r="D210" s="6"/>
      <c r="E210" s="6"/>
      <c r="F210" s="6"/>
      <c r="G210" s="6"/>
      <c r="H210" s="6"/>
      <c r="I210" s="6"/>
      <c r="J210" s="6"/>
      <c r="K210" s="2"/>
      <c r="L210" s="6"/>
      <c r="M210" s="6"/>
      <c r="N210" s="6"/>
    </row>
    <row r="211" spans="1:14" x14ac:dyDescent="0.25">
      <c r="A211" s="3"/>
      <c r="B211" s="6"/>
      <c r="C211" s="6"/>
      <c r="D211" s="6"/>
      <c r="E211" s="6"/>
      <c r="F211" s="6"/>
      <c r="G211" s="6"/>
      <c r="H211" s="6"/>
      <c r="I211" s="6"/>
      <c r="J211" s="6"/>
      <c r="K211" s="2"/>
      <c r="L211" s="6"/>
      <c r="M211" s="6"/>
      <c r="N211" s="6"/>
    </row>
    <row r="212" spans="1:14" x14ac:dyDescent="0.25">
      <c r="A212" s="3"/>
      <c r="B212" s="6"/>
      <c r="C212" s="6"/>
      <c r="D212" s="6"/>
      <c r="E212" s="6"/>
      <c r="F212" s="6"/>
      <c r="G212" s="6"/>
      <c r="H212" s="6"/>
      <c r="I212" s="6"/>
      <c r="J212" s="6"/>
      <c r="K212" s="2"/>
      <c r="L212" s="6"/>
      <c r="M212" s="6"/>
      <c r="N212" s="6"/>
    </row>
    <row r="213" spans="1:14" x14ac:dyDescent="0.25">
      <c r="A213" s="3"/>
      <c r="B213" s="6"/>
      <c r="C213" s="6"/>
      <c r="D213" s="6"/>
      <c r="E213" s="6"/>
      <c r="F213" s="6"/>
      <c r="G213" s="6"/>
      <c r="H213" s="6"/>
      <c r="I213" s="6"/>
      <c r="J213" s="6"/>
      <c r="K213" s="2"/>
      <c r="L213" s="6"/>
      <c r="M213" s="6"/>
      <c r="N213" s="6"/>
    </row>
    <row r="214" spans="1:14" x14ac:dyDescent="0.25">
      <c r="A214" s="3"/>
      <c r="B214" s="6"/>
      <c r="C214" s="6"/>
      <c r="D214" s="6"/>
      <c r="E214" s="6"/>
      <c r="F214" s="6"/>
      <c r="G214" s="6"/>
      <c r="H214" s="6"/>
      <c r="I214" s="6"/>
      <c r="J214" s="6"/>
      <c r="K214" s="2"/>
      <c r="L214" s="6"/>
      <c r="M214" s="6"/>
      <c r="N214" s="6"/>
    </row>
    <row r="215" spans="1:14" x14ac:dyDescent="0.25">
      <c r="A215" s="3"/>
      <c r="B215" s="6"/>
      <c r="C215" s="6"/>
      <c r="D215" s="6"/>
      <c r="E215" s="6"/>
      <c r="F215" s="6"/>
      <c r="G215" s="6"/>
      <c r="H215" s="6"/>
      <c r="I215" s="6"/>
      <c r="J215" s="6"/>
      <c r="K215" s="2"/>
      <c r="L215" s="6"/>
      <c r="M215" s="6"/>
      <c r="N215" s="6"/>
    </row>
    <row r="216" spans="1:14" x14ac:dyDescent="0.25">
      <c r="A216" s="3"/>
      <c r="B216" s="6"/>
      <c r="C216" s="6"/>
      <c r="D216" s="6"/>
      <c r="E216" s="6"/>
      <c r="F216" s="6"/>
      <c r="G216" s="6"/>
      <c r="H216" s="6"/>
      <c r="I216" s="6"/>
      <c r="J216" s="6"/>
      <c r="K216" s="2"/>
      <c r="L216" s="6"/>
      <c r="M216" s="6"/>
      <c r="N216" s="6"/>
    </row>
    <row r="217" spans="1:14" x14ac:dyDescent="0.25">
      <c r="A217" s="3"/>
      <c r="B217" s="6"/>
      <c r="C217" s="6"/>
      <c r="D217" s="6"/>
      <c r="E217" s="6"/>
      <c r="F217" s="6"/>
      <c r="G217" s="6"/>
      <c r="H217" s="6"/>
      <c r="I217" s="6"/>
      <c r="J217" s="6"/>
      <c r="K217" s="2"/>
      <c r="L217" s="6"/>
      <c r="M217" s="6"/>
      <c r="N217" s="6"/>
    </row>
    <row r="218" spans="1:14" x14ac:dyDescent="0.25">
      <c r="A218" s="3"/>
      <c r="B218" s="6"/>
      <c r="C218" s="6"/>
      <c r="D218" s="6"/>
      <c r="E218" s="6"/>
      <c r="F218" s="6"/>
      <c r="G218" s="6"/>
      <c r="H218" s="6"/>
      <c r="I218" s="6"/>
      <c r="J218" s="6"/>
      <c r="K218" s="2"/>
      <c r="L218" s="6"/>
      <c r="M218" s="6"/>
      <c r="N218" s="6"/>
    </row>
    <row r="219" spans="1:14" x14ac:dyDescent="0.25">
      <c r="A219" s="3"/>
      <c r="B219" s="6"/>
      <c r="C219" s="6"/>
      <c r="D219" s="6"/>
      <c r="E219" s="6"/>
      <c r="F219" s="6"/>
      <c r="G219" s="6"/>
      <c r="H219" s="6"/>
      <c r="I219" s="6"/>
      <c r="J219" s="6"/>
      <c r="K219" s="2"/>
      <c r="L219" s="6"/>
      <c r="M219" s="6"/>
      <c r="N219" s="6"/>
    </row>
    <row r="220" spans="1:14" x14ac:dyDescent="0.25">
      <c r="A220" s="3"/>
      <c r="B220" s="6"/>
      <c r="C220" s="6"/>
      <c r="D220" s="6"/>
      <c r="E220" s="6"/>
      <c r="F220" s="6"/>
      <c r="G220" s="6"/>
      <c r="H220" s="6"/>
      <c r="I220" s="6"/>
      <c r="J220" s="6"/>
      <c r="K220" s="2"/>
      <c r="L220" s="6"/>
      <c r="M220" s="6"/>
      <c r="N220" s="6"/>
    </row>
    <row r="221" spans="1:14" x14ac:dyDescent="0.25">
      <c r="A221" s="3"/>
      <c r="B221" s="6"/>
      <c r="C221" s="6"/>
      <c r="D221" s="6"/>
      <c r="E221" s="6"/>
      <c r="F221" s="6"/>
      <c r="G221" s="6"/>
      <c r="H221" s="6"/>
      <c r="I221" s="6"/>
      <c r="J221" s="6"/>
      <c r="K221" s="2"/>
      <c r="L221" s="6"/>
      <c r="M221" s="6"/>
      <c r="N221" s="6"/>
    </row>
    <row r="222" spans="1:14" x14ac:dyDescent="0.25">
      <c r="A222" s="3"/>
      <c r="B222" s="6"/>
      <c r="C222" s="6"/>
      <c r="D222" s="6"/>
      <c r="E222" s="6"/>
      <c r="F222" s="6"/>
      <c r="G222" s="6"/>
      <c r="H222" s="6"/>
      <c r="I222" s="6"/>
      <c r="J222" s="6"/>
      <c r="K222" s="2"/>
      <c r="L222" s="6"/>
      <c r="M222" s="6"/>
      <c r="N222" s="6"/>
    </row>
    <row r="223" spans="1:14" x14ac:dyDescent="0.25">
      <c r="A223" s="3"/>
      <c r="B223" s="6"/>
      <c r="C223" s="6"/>
      <c r="D223" s="6"/>
      <c r="E223" s="6"/>
      <c r="F223" s="6"/>
      <c r="G223" s="6"/>
      <c r="H223" s="6"/>
      <c r="I223" s="6"/>
      <c r="J223" s="6"/>
      <c r="K223" s="2"/>
      <c r="L223" s="6"/>
      <c r="M223" s="6"/>
      <c r="N223" s="6"/>
    </row>
    <row r="224" spans="1:14" x14ac:dyDescent="0.25">
      <c r="A224" s="3"/>
      <c r="B224" s="6"/>
      <c r="C224" s="6"/>
      <c r="D224" s="6"/>
      <c r="E224" s="6"/>
      <c r="F224" s="6"/>
      <c r="G224" s="6"/>
      <c r="H224" s="6"/>
      <c r="I224" s="6"/>
      <c r="J224" s="6"/>
      <c r="K224" s="2"/>
      <c r="L224" s="6"/>
      <c r="M224" s="6"/>
      <c r="N224" s="6"/>
    </row>
    <row r="225" spans="1:14" x14ac:dyDescent="0.25">
      <c r="A225" s="3"/>
      <c r="B225" s="6"/>
      <c r="C225" s="6"/>
      <c r="D225" s="6"/>
      <c r="E225" s="6"/>
      <c r="F225" s="6"/>
      <c r="G225" s="6"/>
      <c r="H225" s="6"/>
      <c r="I225" s="6"/>
      <c r="J225" s="6"/>
      <c r="K225" s="2"/>
      <c r="L225" s="6"/>
      <c r="M225" s="6"/>
      <c r="N225" s="6"/>
    </row>
    <row r="226" spans="1:14" x14ac:dyDescent="0.25">
      <c r="A226" s="3"/>
      <c r="B226" s="6"/>
      <c r="C226" s="6"/>
      <c r="D226" s="6"/>
      <c r="E226" s="6"/>
      <c r="F226" s="6"/>
      <c r="G226" s="6"/>
      <c r="H226" s="6"/>
      <c r="I226" s="6"/>
      <c r="J226" s="6"/>
      <c r="K226" s="2"/>
      <c r="L226" s="6"/>
      <c r="M226" s="6"/>
      <c r="N226" s="6"/>
    </row>
    <row r="227" spans="1:14" x14ac:dyDescent="0.25">
      <c r="A227" s="3"/>
      <c r="B227" s="6"/>
      <c r="C227" s="6"/>
      <c r="D227" s="6"/>
      <c r="E227" s="6"/>
      <c r="F227" s="6"/>
      <c r="G227" s="6"/>
      <c r="H227" s="6"/>
      <c r="I227" s="6"/>
      <c r="J227" s="6"/>
      <c r="K227" s="2"/>
      <c r="L227" s="6"/>
      <c r="M227" s="6"/>
      <c r="N227" s="6"/>
    </row>
    <row r="228" spans="1:14" x14ac:dyDescent="0.25">
      <c r="A228" s="3"/>
      <c r="B228" s="6"/>
      <c r="C228" s="6"/>
      <c r="D228" s="6"/>
      <c r="E228" s="6"/>
      <c r="F228" s="6"/>
      <c r="G228" s="6"/>
      <c r="H228" s="6"/>
      <c r="I228" s="6"/>
      <c r="J228" s="6"/>
      <c r="K228" s="2"/>
      <c r="L228" s="6"/>
      <c r="M228" s="6"/>
      <c r="N228" s="6"/>
    </row>
    <row r="229" spans="1:14" x14ac:dyDescent="0.25">
      <c r="A229" s="3"/>
      <c r="B229" s="6"/>
      <c r="C229" s="6"/>
      <c r="D229" s="6"/>
      <c r="E229" s="6"/>
      <c r="F229" s="6"/>
      <c r="G229" s="6"/>
      <c r="H229" s="6"/>
      <c r="I229" s="6"/>
      <c r="J229" s="6"/>
      <c r="K229" s="2"/>
      <c r="L229" s="6"/>
      <c r="M229" s="6"/>
      <c r="N229" s="6"/>
    </row>
    <row r="230" spans="1:14" x14ac:dyDescent="0.25">
      <c r="A230" s="3"/>
      <c r="B230" s="6"/>
      <c r="C230" s="6"/>
      <c r="D230" s="6"/>
      <c r="E230" s="6"/>
      <c r="F230" s="6"/>
      <c r="G230" s="6"/>
      <c r="H230" s="6"/>
      <c r="I230" s="6"/>
      <c r="J230" s="6"/>
      <c r="K230" s="2"/>
      <c r="L230" s="6"/>
      <c r="M230" s="6"/>
      <c r="N230" s="6"/>
    </row>
    <row r="231" spans="1:14" x14ac:dyDescent="0.25">
      <c r="A231" s="3"/>
      <c r="B231" s="6"/>
      <c r="C231" s="6"/>
      <c r="D231" s="6"/>
      <c r="E231" s="6"/>
      <c r="F231" s="6"/>
      <c r="G231" s="6"/>
      <c r="H231" s="6"/>
      <c r="I231" s="6"/>
      <c r="J231" s="6"/>
      <c r="K231" s="2"/>
      <c r="L231" s="6"/>
      <c r="M231" s="6"/>
      <c r="N231" s="6"/>
    </row>
    <row r="232" spans="1:14" x14ac:dyDescent="0.25">
      <c r="A232" s="3"/>
      <c r="B232" s="6"/>
      <c r="C232" s="6"/>
      <c r="D232" s="6"/>
      <c r="E232" s="6"/>
      <c r="F232" s="6"/>
      <c r="G232" s="6"/>
      <c r="H232" s="6"/>
      <c r="I232" s="6"/>
      <c r="J232" s="6"/>
      <c r="K232" s="2"/>
      <c r="L232" s="6"/>
      <c r="M232" s="6"/>
      <c r="N232" s="6"/>
    </row>
    <row r="233" spans="1:14" x14ac:dyDescent="0.25">
      <c r="A233" s="3"/>
      <c r="B233" s="6"/>
      <c r="C233" s="6"/>
      <c r="D233" s="6"/>
      <c r="E233" s="6"/>
      <c r="F233" s="6"/>
      <c r="G233" s="6"/>
      <c r="H233" s="6"/>
      <c r="I233" s="6"/>
      <c r="J233" s="6"/>
      <c r="K233" s="2"/>
      <c r="L233" s="6"/>
      <c r="M233" s="6"/>
    </row>
    <row r="234" spans="1:14" x14ac:dyDescent="0.25">
      <c r="A234" s="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 spans="1:14" x14ac:dyDescent="0.25">
      <c r="A235" s="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spans="1:14" x14ac:dyDescent="0.25">
      <c r="A236" s="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 spans="1:14" x14ac:dyDescent="0.25">
      <c r="A237" s="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spans="1:14" x14ac:dyDescent="0.25">
      <c r="A238" s="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 spans="1:14" x14ac:dyDescent="0.25">
      <c r="A239" s="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</sheetData>
  <phoneticPr fontId="2"/>
  <pageMargins left="0.75" right="0.75" top="0.75" bottom="0.5" header="0.5" footer="0.75"/>
  <pageSetup paperSize="9" orientation="landscape" r:id="rId1"/>
  <rowBreaks count="5" manualBreakCount="5">
    <brk id="46" max="16383" man="1"/>
    <brk id="88" max="16383" man="1"/>
    <brk id="106" max="16383" man="1"/>
    <brk id="144" max="16383" man="1"/>
    <brk id="177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06FB-9D2B-44F1-9F30-DF1A778D17A0}">
  <dimension ref="A2:L20"/>
  <sheetViews>
    <sheetView tabSelected="1" workbookViewId="0">
      <selection activeCell="J11" sqref="J11"/>
    </sheetView>
  </sheetViews>
  <sheetFormatPr defaultRowHeight="15" x14ac:dyDescent="0.25"/>
  <cols>
    <col min="2" max="2" width="36.7109375" bestFit="1" customWidth="1"/>
    <col min="3" max="3" width="13.5703125" bestFit="1" customWidth="1"/>
    <col min="4" max="4" width="21" customWidth="1"/>
    <col min="5" max="5" width="16.140625" bestFit="1" customWidth="1"/>
    <col min="10" max="10" width="13.5703125" bestFit="1" customWidth="1"/>
    <col min="11" max="11" width="16.140625" bestFit="1" customWidth="1"/>
    <col min="12" max="12" width="13" customWidth="1"/>
  </cols>
  <sheetData>
    <row r="2" spans="1:12" x14ac:dyDescent="0.25">
      <c r="A2" s="16" t="s">
        <v>677</v>
      </c>
      <c r="B2" s="17" t="s">
        <v>649</v>
      </c>
      <c r="C2" s="17" t="s">
        <v>650</v>
      </c>
      <c r="D2" s="18" t="s">
        <v>674</v>
      </c>
      <c r="E2" s="16" t="s">
        <v>666</v>
      </c>
      <c r="F2" s="16" t="s">
        <v>672</v>
      </c>
      <c r="G2" s="16" t="s">
        <v>673</v>
      </c>
      <c r="H2" s="17"/>
      <c r="I2" s="17"/>
      <c r="J2" s="22" t="s">
        <v>675</v>
      </c>
      <c r="K2" s="22" t="s">
        <v>666</v>
      </c>
      <c r="L2" s="22" t="s">
        <v>673</v>
      </c>
    </row>
    <row r="3" spans="1:12" x14ac:dyDescent="0.25">
      <c r="A3">
        <v>1</v>
      </c>
      <c r="B3" s="13" t="s">
        <v>670</v>
      </c>
      <c r="C3" t="s">
        <v>651</v>
      </c>
      <c r="D3" s="14" cm="1">
        <f t="array" ref="D3">SUMPRODUCT((集計!$B3=データ!$B$2:$B$210)*(集計!$C3=データ!$P$2:$P$210)*(集計!$E3=データ!$Q$2:$Q$210)*データ!$D$2:$D$210)/100</f>
        <v>90.07</v>
      </c>
      <c r="E3" t="s">
        <v>667</v>
      </c>
      <c r="F3" cm="1">
        <f t="array" ref="F3">SUMPRODUCT((集計!$B3=データ!$B$2:$B$210)*(集計!$C3=データ!$P$2:$P$210)*(集計!$E3=データ!$Q$2:$Q$210)*データ!$R$2:$R$210)</f>
        <v>11600</v>
      </c>
      <c r="G3" s="12">
        <f>F3/D3*10</f>
        <v>1287.8871988453425</v>
      </c>
      <c r="J3" t="s">
        <v>661</v>
      </c>
      <c r="K3" t="s">
        <v>667</v>
      </c>
      <c r="L3" s="12" cm="1">
        <f t="array" ref="L3">SUMPRODUCT(($J3=$C$3:$C$20)*($K3=$E$3:$E$20)*$F$3:$F$20)/SUMPRODUCT(($J3=$C$3:$C$20)*($K3=$E$3:$E$20)*$D$3:$D$20)*10</f>
        <v>2653.5081200519207</v>
      </c>
    </row>
    <row r="4" spans="1:12" x14ac:dyDescent="0.25">
      <c r="A4">
        <v>2</v>
      </c>
      <c r="B4" t="s">
        <v>652</v>
      </c>
      <c r="C4" t="s">
        <v>651</v>
      </c>
      <c r="D4" s="14" cm="1">
        <f t="array" ref="D4">SUMPRODUCT((集計!$B4=データ!$B$2:$B$210)*(集計!$C4=データ!$P$2:$P$210)*(集計!$E4=データ!$Q$2:$Q$210)*データ!$D$2:$D$210)/100</f>
        <v>349.76</v>
      </c>
      <c r="E4" t="s">
        <v>667</v>
      </c>
      <c r="F4" cm="1">
        <f t="array" ref="F4">SUMPRODUCT((集計!$B4=データ!$B$2:$B$210)*(集計!$C4=データ!$P$2:$P$210)*(集計!$E4=データ!$Q$2:$Q$210)*データ!$R$2:$R$210)</f>
        <v>68800</v>
      </c>
      <c r="G4" s="12">
        <f>F4/D4*10</f>
        <v>1967.0631290027447</v>
      </c>
      <c r="J4" t="s">
        <v>661</v>
      </c>
      <c r="K4" t="s">
        <v>668</v>
      </c>
      <c r="L4" s="12" cm="1">
        <f t="array" ref="L4">SUMPRODUCT(($J4=$C$3:$C$20)*($K4=$E$3:$E$20)*$F$3:$F$20)/SUMPRODUCT(($J4=$C$3:$C$20)*($K4=$E$3:$E$20)*$D$3:$D$20)*10</f>
        <v>1851.6782612771258</v>
      </c>
    </row>
    <row r="5" spans="1:12" x14ac:dyDescent="0.25">
      <c r="A5">
        <v>3</v>
      </c>
      <c r="B5" t="s">
        <v>653</v>
      </c>
      <c r="C5" t="s">
        <v>651</v>
      </c>
      <c r="D5" s="14" cm="1">
        <f t="array" ref="D5">SUMPRODUCT((集計!$B5=データ!$B$2:$B$210)*(集計!$C5=データ!$P$2:$P$210)*(集計!$E5=データ!$Q$2:$Q$210)*データ!$D$2:$D$210)/100</f>
        <v>378.55</v>
      </c>
      <c r="E5" t="s">
        <v>667</v>
      </c>
      <c r="F5" cm="1">
        <f t="array" ref="F5">SUMPRODUCT((集計!$B5=データ!$B$2:$B$210)*(集計!$C5=データ!$P$2:$P$210)*(集計!$E5=データ!$Q$2:$Q$210)*データ!$R$2:$R$210)</f>
        <v>75000</v>
      </c>
      <c r="G5" s="12">
        <f>F5/D5*10</f>
        <v>1981.244221371021</v>
      </c>
      <c r="J5" s="19" t="s">
        <v>661</v>
      </c>
      <c r="K5" s="20" t="s">
        <v>676</v>
      </c>
      <c r="L5" s="21" cm="1">
        <f t="array" ref="L5">SUMPRODUCT(($J5=$C$3:$C$20)*($K5=$E$3:$E$20)*$F$3:$F$20)/SUMPRODUCT(($J5=$C$3:$C$20)*($K5=$E$3:$E$20)*$D$3:$D$20)*10</f>
        <v>809.5116883424397</v>
      </c>
    </row>
    <row r="6" spans="1:12" x14ac:dyDescent="0.25">
      <c r="A6">
        <v>4</v>
      </c>
      <c r="B6" t="s">
        <v>654</v>
      </c>
      <c r="C6" t="s">
        <v>651</v>
      </c>
      <c r="D6" s="14" cm="1">
        <f t="array" ref="D6">SUMPRODUCT((集計!$B6=データ!$B$2:$B$210)*(集計!$C6=データ!$P$2:$P$210)*(集計!$E6=データ!$Q$2:$Q$210)*データ!$D$2:$D$210)/100</f>
        <v>360.28</v>
      </c>
      <c r="E6" t="s">
        <v>668</v>
      </c>
      <c r="F6" cm="1">
        <f t="array" ref="F6">SUMPRODUCT((集計!$B6=データ!$B$2:$B$210)*(集計!$C6=データ!$P$2:$P$210)*(集計!$E6=データ!$Q$2:$Q$210)*データ!$R$2:$R$210)</f>
        <v>86800</v>
      </c>
      <c r="G6" s="12">
        <f>F6/D6*10</f>
        <v>2409.2372599089599</v>
      </c>
      <c r="J6" t="s">
        <v>656</v>
      </c>
      <c r="K6" t="s">
        <v>667</v>
      </c>
      <c r="L6" s="12" cm="1">
        <f t="array" ref="L6">SUMPRODUCT(($J6=$C$3:$C$20)*($K6=$E$3:$E$20)*$F$3:$F$20)/SUMPRODUCT(($J6=$C$3:$C$20)*($K6=$E$3:$E$20)*$D$3:$D$20)*10</f>
        <v>3167.701863354037</v>
      </c>
    </row>
    <row r="7" spans="1:12" x14ac:dyDescent="0.25">
      <c r="A7">
        <v>5</v>
      </c>
      <c r="B7" t="s">
        <v>655</v>
      </c>
      <c r="C7" t="s">
        <v>656</v>
      </c>
      <c r="D7" s="14" cm="1">
        <f t="array" ref="D7">SUMPRODUCT((集計!$B7=データ!$B$2:$B$210)*(集計!$C7=データ!$P$2:$P$210)*(集計!$E7=データ!$Q$2:$Q$210)*データ!$D$2:$D$210)/100</f>
        <v>385.1</v>
      </c>
      <c r="E7" t="s">
        <v>667</v>
      </c>
      <c r="F7" cm="1">
        <f t="array" ref="F7">SUMPRODUCT((集計!$B7=データ!$B$2:$B$210)*(集計!$C7=データ!$P$2:$P$210)*(集計!$E7=データ!$Q$2:$Q$210)*データ!$R$2:$R$210)</f>
        <v>123300</v>
      </c>
      <c r="G7" s="12">
        <f>F7/D7*10</f>
        <v>3201.7657751233446</v>
      </c>
      <c r="J7" s="19" t="s">
        <v>656</v>
      </c>
      <c r="K7" s="19" t="s">
        <v>668</v>
      </c>
      <c r="L7" s="21" cm="1">
        <f t="array" ref="L7">SUMPRODUCT(($J7=$C$3:$C$20)*($K7=$E$3:$E$20)*$F$3:$F$20)/SUMPRODUCT(($J7=$C$3:$C$20)*($K7=$E$3:$E$20)*$D$3:$D$20)*10</f>
        <v>2893.9633732760567</v>
      </c>
    </row>
    <row r="8" spans="1:12" x14ac:dyDescent="0.25">
      <c r="A8">
        <v>6</v>
      </c>
      <c r="B8" t="s">
        <v>657</v>
      </c>
      <c r="C8" t="s">
        <v>658</v>
      </c>
      <c r="D8" s="14" cm="1">
        <f t="array" ref="D8">SUMPRODUCT((集計!$B8=データ!$B$2:$B$210)*(集計!$C8=データ!$P$2:$P$210)*(集計!$E8=データ!$Q$2:$Q$210)*データ!$D$2:$D$210)/100</f>
        <v>355.05</v>
      </c>
      <c r="E8" t="s">
        <v>667</v>
      </c>
      <c r="F8" cm="1">
        <f t="array" ref="F8">SUMPRODUCT((集計!$B8=データ!$B$2:$B$210)*(集計!$C8=データ!$P$2:$P$210)*(集計!$E8=データ!$Q$2:$Q$210)*データ!$R$2:$R$210)</f>
        <v>108800</v>
      </c>
      <c r="G8" s="12">
        <f>F8/D8*10</f>
        <v>3064.3571327981972</v>
      </c>
      <c r="J8" t="s">
        <v>651</v>
      </c>
      <c r="K8" t="s">
        <v>667</v>
      </c>
      <c r="L8" s="12" cm="1">
        <f t="array" ref="L8">SUMPRODUCT(($J8=$C$3:$C$20)*($K8=$E$3:$E$20)*$F$3:$F$20)/SUMPRODUCT(($J8=$C$3:$C$20)*($K8=$E$3:$E$20)*$D$3:$D$20)*10</f>
        <v>1898.8733840025416</v>
      </c>
    </row>
    <row r="9" spans="1:12" x14ac:dyDescent="0.25">
      <c r="A9">
        <v>7</v>
      </c>
      <c r="B9" t="s">
        <v>659</v>
      </c>
      <c r="C9" t="s">
        <v>656</v>
      </c>
      <c r="D9" s="14" cm="1">
        <f t="array" ref="D9">SUMPRODUCT((集計!$B9=データ!$B$2:$B$210)*(集計!$C9=データ!$P$2:$P$210)*(集計!$E9=データ!$Q$2:$Q$210)*データ!$D$2:$D$210)/100</f>
        <v>194.5</v>
      </c>
      <c r="E9" t="s">
        <v>667</v>
      </c>
      <c r="F9" cm="1">
        <f t="array" ref="F9">SUMPRODUCT((集計!$B9=データ!$B$2:$B$210)*(集計!$C9=データ!$P$2:$P$210)*(集計!$E9=データ!$Q$2:$Q$210)*データ!$R$2:$R$210)</f>
        <v>60300</v>
      </c>
      <c r="G9" s="12">
        <f>F9/D9*10</f>
        <v>3100.2570694087403</v>
      </c>
      <c r="J9" s="19" t="s">
        <v>651</v>
      </c>
      <c r="K9" s="19" t="s">
        <v>668</v>
      </c>
      <c r="L9" s="21" cm="1">
        <f t="array" ref="L9">SUMPRODUCT(($J9=$C$3:$C$20)*($K9=$E$3:$E$20)*$F$3:$F$20)/SUMPRODUCT(($J9=$C$3:$C$20)*($K9=$E$3:$E$20)*$D$3:$D$20)*10</f>
        <v>2409.2372599089599</v>
      </c>
    </row>
    <row r="10" spans="1:12" x14ac:dyDescent="0.25">
      <c r="A10">
        <v>8</v>
      </c>
      <c r="B10" t="s">
        <v>653</v>
      </c>
      <c r="C10" t="s">
        <v>658</v>
      </c>
      <c r="D10" s="14" cm="1">
        <f t="array" ref="D10">SUMPRODUCT((集計!$B10=データ!$B$2:$B$210)*(集計!$C10=データ!$P$2:$P$210)*(集計!$E10=データ!$Q$2:$Q$210)*データ!$D$2:$D$210)/100</f>
        <v>384.09</v>
      </c>
      <c r="E10" t="s">
        <v>667</v>
      </c>
      <c r="F10" cm="1">
        <f t="array" ref="F10">SUMPRODUCT((集計!$B10=データ!$B$2:$B$210)*(集計!$C10=データ!$P$2:$P$210)*(集計!$E10=データ!$Q$2:$Q$210)*データ!$R$2:$R$210)</f>
        <v>86000</v>
      </c>
      <c r="G10" s="12">
        <f>F10/D10*10</f>
        <v>2239.0585539847434</v>
      </c>
    </row>
    <row r="11" spans="1:12" x14ac:dyDescent="0.25">
      <c r="A11">
        <v>9</v>
      </c>
      <c r="B11" t="s">
        <v>652</v>
      </c>
      <c r="C11" t="s">
        <v>658</v>
      </c>
      <c r="D11" s="14" cm="1">
        <f t="array" ref="D11">SUMPRODUCT((集計!$B11=データ!$B$2:$B$210)*(集計!$C11=データ!$P$2:$P$210)*(集計!$E11=データ!$Q$2:$Q$210)*データ!$D$2:$D$210)/100</f>
        <v>344.63</v>
      </c>
      <c r="E11" t="s">
        <v>667</v>
      </c>
      <c r="F11" cm="1">
        <f t="array" ref="F11">SUMPRODUCT((集計!$B11=データ!$B$2:$B$210)*(集計!$C11=データ!$P$2:$P$210)*(集計!$E11=データ!$Q$2:$Q$210)*データ!$R$2:$R$210)</f>
        <v>91500</v>
      </c>
      <c r="G11" s="12">
        <f>F11/D11*10</f>
        <v>2655.0213272204974</v>
      </c>
    </row>
    <row r="12" spans="1:12" x14ac:dyDescent="0.25">
      <c r="A12">
        <v>10</v>
      </c>
      <c r="B12" t="s">
        <v>654</v>
      </c>
      <c r="C12" t="s">
        <v>656</v>
      </c>
      <c r="D12" s="14" cm="1">
        <f t="array" ref="D12">SUMPRODUCT((集計!$B12=データ!$B$2:$B$210)*(集計!$C12=データ!$P$2:$P$210)*(集計!$E12=データ!$Q$2:$Q$210)*データ!$D$2:$D$210)/100</f>
        <v>353.84</v>
      </c>
      <c r="E12" t="s">
        <v>668</v>
      </c>
      <c r="F12" cm="1">
        <f t="array" ref="F12">SUMPRODUCT((集計!$B12=データ!$B$2:$B$210)*(集計!$C12=データ!$P$2:$P$210)*(集計!$E12=データ!$Q$2:$Q$210)*データ!$R$2:$R$210)</f>
        <v>102400</v>
      </c>
      <c r="G12" s="12">
        <f>F12/D12*10</f>
        <v>2893.9633732760567</v>
      </c>
    </row>
    <row r="13" spans="1:12" x14ac:dyDescent="0.25">
      <c r="A13">
        <v>11</v>
      </c>
      <c r="B13" s="15" t="s">
        <v>671</v>
      </c>
      <c r="C13" t="s">
        <v>658</v>
      </c>
      <c r="D13" s="14" cm="1">
        <f t="array" ref="D13">SUMPRODUCT((集計!$B13=データ!$B$2:$B$210)*(集計!$C13=データ!$P$2:$P$210)*(集計!$E13=データ!$Q$2:$Q$210)*データ!$D$2:$D$210)/100</f>
        <v>1407.97</v>
      </c>
      <c r="E13" t="s">
        <v>668</v>
      </c>
      <c r="F13" cm="1">
        <f t="array" ref="F13">SUMPRODUCT((集計!$B13=データ!$B$2:$B$210)*(集計!$C13=データ!$P$2:$P$210)*(集計!$E13=データ!$Q$2:$Q$210)*データ!$R$2:$R$210)</f>
        <v>241400</v>
      </c>
      <c r="G13" s="12">
        <f>F13/D13*10</f>
        <v>1714.525167439647</v>
      </c>
    </row>
    <row r="14" spans="1:12" x14ac:dyDescent="0.25">
      <c r="A14">
        <v>12</v>
      </c>
      <c r="B14" t="s">
        <v>660</v>
      </c>
      <c r="C14" t="s">
        <v>661</v>
      </c>
      <c r="D14" s="14" cm="1">
        <f t="array" ref="D14">SUMPRODUCT((集計!$B14=データ!$B$2:$B$210)*(集計!$C14=データ!$P$2:$P$210)*(集計!$E14=データ!$Q$2:$Q$210)*データ!$D$2:$D$210)/100</f>
        <v>768.17</v>
      </c>
      <c r="E14" t="s">
        <v>668</v>
      </c>
      <c r="F14" cm="1">
        <f t="array" ref="F14">SUMPRODUCT((集計!$B14=データ!$B$2:$B$210)*(集計!$C14=データ!$P$2:$P$210)*(集計!$E14=データ!$Q$2:$Q$210)*データ!$R$2:$R$210)</f>
        <v>133000</v>
      </c>
      <c r="G14" s="12">
        <f>F14/D14*10</f>
        <v>1731.3875834776159</v>
      </c>
    </row>
    <row r="15" spans="1:12" x14ac:dyDescent="0.25">
      <c r="A15">
        <v>13</v>
      </c>
      <c r="B15" t="s">
        <v>654</v>
      </c>
      <c r="C15" t="s">
        <v>661</v>
      </c>
      <c r="D15" s="14" cm="1">
        <f t="array" ref="D15">SUMPRODUCT((集計!$B15=データ!$B$2:$B$210)*(集計!$C15=データ!$P$2:$P$210)*(集計!$E15=データ!$Q$2:$Q$210)*データ!$D$2:$D$210)/100</f>
        <v>1251.92</v>
      </c>
      <c r="E15" t="s">
        <v>668</v>
      </c>
      <c r="F15" cm="1">
        <f t="array" ref="F15">SUMPRODUCT((集計!$B15=データ!$B$2:$B$210)*(集計!$C15=データ!$P$2:$P$210)*(集計!$E15=データ!$Q$2:$Q$210)*データ!$R$2:$R$210)</f>
        <v>310700</v>
      </c>
      <c r="G15" s="12">
        <f>F15/D15*10</f>
        <v>2481.787973672439</v>
      </c>
    </row>
    <row r="16" spans="1:12" x14ac:dyDescent="0.25">
      <c r="A16">
        <v>14</v>
      </c>
      <c r="B16" t="s">
        <v>662</v>
      </c>
      <c r="C16" t="s">
        <v>661</v>
      </c>
      <c r="D16" s="14" cm="1">
        <f t="array" ref="D16">SUMPRODUCT((集計!$B16=データ!$B$2:$B$210)*(集計!$C16=データ!$P$2:$P$210)*(集計!$E16=データ!$Q$2:$Q$210)*データ!$D$2:$D$210)/100</f>
        <v>408.35</v>
      </c>
      <c r="E16" t="s">
        <v>667</v>
      </c>
      <c r="F16" cm="1">
        <f t="array" ref="F16">SUMPRODUCT((集計!$B16=データ!$B$2:$B$210)*(集計!$C16=データ!$P$2:$P$210)*(集計!$E16=データ!$Q$2:$Q$210)*データ!$R$2:$R$210)</f>
        <v>90900</v>
      </c>
      <c r="G16" s="12">
        <f>F16/D16*10</f>
        <v>2226.0315905473244</v>
      </c>
    </row>
    <row r="17" spans="1:7" x14ac:dyDescent="0.25">
      <c r="A17">
        <v>15</v>
      </c>
      <c r="B17" t="s">
        <v>663</v>
      </c>
      <c r="C17" t="s">
        <v>661</v>
      </c>
      <c r="D17" s="14" cm="1">
        <f t="array" ref="D17">SUMPRODUCT((集計!$B17=データ!$B$2:$B$210)*(集計!$C17=データ!$P$2:$P$210)*(集計!$E17=データ!$Q$2:$Q$210)*データ!$D$2:$D$210)/100</f>
        <v>966.93</v>
      </c>
      <c r="E17" t="s">
        <v>668</v>
      </c>
      <c r="F17" cm="1">
        <f t="array" ref="F17">SUMPRODUCT((集計!$B17=データ!$B$2:$B$210)*(集計!$C17=データ!$P$2:$P$210)*(集計!$E17=データ!$Q$2:$Q$210)*データ!$R$2:$R$210)</f>
        <v>109400</v>
      </c>
      <c r="G17" s="12">
        <f>F17/D17*10</f>
        <v>1131.4159246274291</v>
      </c>
    </row>
    <row r="18" spans="1:7" x14ac:dyDescent="0.25">
      <c r="A18">
        <v>16</v>
      </c>
      <c r="B18" t="s">
        <v>655</v>
      </c>
      <c r="C18" t="s">
        <v>661</v>
      </c>
      <c r="D18" s="14" cm="1">
        <f t="array" ref="D18">SUMPRODUCT((集計!$B18=データ!$B$2:$B$210)*(集計!$C18=データ!$P$2:$P$210)*(集計!$E18=データ!$Q$2:$Q$210)*データ!$D$2:$D$210)/100</f>
        <v>215.56</v>
      </c>
      <c r="E18" t="s">
        <v>667</v>
      </c>
      <c r="F18" cm="1">
        <f t="array" ref="F18">SUMPRODUCT((集計!$B18=データ!$B$2:$B$210)*(集計!$C18=データ!$P$2:$P$210)*(集計!$E18=データ!$Q$2:$Q$210)*データ!$R$2:$R$210)</f>
        <v>86100</v>
      </c>
      <c r="G18" s="12">
        <f>F18/D18*10</f>
        <v>3994.2475412878084</v>
      </c>
    </row>
    <row r="19" spans="1:7" x14ac:dyDescent="0.25">
      <c r="A19">
        <v>17</v>
      </c>
      <c r="B19" t="s">
        <v>664</v>
      </c>
      <c r="C19" t="s">
        <v>661</v>
      </c>
      <c r="D19" s="14" cm="1">
        <f t="array" ref="D19">SUMPRODUCT((集計!$B19=データ!$B$2:$B$210)*(集計!$C19=データ!$P$2:$P$210)*(集計!$E19=データ!$Q$2:$Q$210)*データ!$D$2:$D$210)/100</f>
        <v>1689.29</v>
      </c>
      <c r="E19" t="s">
        <v>669</v>
      </c>
      <c r="F19" cm="1">
        <f t="array" ref="F19">SUMPRODUCT((集計!$B19=データ!$B$2:$B$210)*(集計!$C19=データ!$P$2:$P$210)*(集計!$E19=データ!$Q$2:$Q$210)*データ!$R$2:$R$210)</f>
        <v>136750</v>
      </c>
      <c r="G19" s="12">
        <f>F19/D19*10</f>
        <v>809.5116883424397</v>
      </c>
    </row>
    <row r="20" spans="1:7" x14ac:dyDescent="0.25">
      <c r="A20">
        <v>18</v>
      </c>
      <c r="B20" t="s">
        <v>665</v>
      </c>
      <c r="C20" t="s">
        <v>661</v>
      </c>
      <c r="D20" s="14" cm="1">
        <f t="array" ref="D20">SUMPRODUCT((集計!$B20=データ!$B$2:$B$210)*(集計!$C20=データ!$P$2:$P$210)*(集計!$E20=データ!$Q$2:$Q$210)*データ!$D$2:$D$210)/100</f>
        <v>385.32</v>
      </c>
      <c r="E20" t="s">
        <v>667</v>
      </c>
      <c r="F20" cm="1">
        <f t="array" ref="F20">SUMPRODUCT((集計!$B20=データ!$B$2:$B$210)*(集計!$C20=データ!$P$2:$P$210)*(集計!$E20=データ!$Q$2:$Q$210)*データ!$R$2:$R$210)</f>
        <v>90800</v>
      </c>
      <c r="G20" s="12">
        <f>F20/D20*10</f>
        <v>2356.4829232845427</v>
      </c>
    </row>
  </sheetData>
  <sortState xmlns:xlrd2="http://schemas.microsoft.com/office/spreadsheetml/2017/richdata2" ref="A3:G20">
    <sortCondition ref="A3:A20"/>
  </sortState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データ</vt:lpstr>
      <vt:lpstr>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野津　誠</dc:creator>
  <cp:lastModifiedBy>島根県澤田　泰人</cp:lastModifiedBy>
  <cp:lastPrinted>2026-01-16T05:15:45Z</cp:lastPrinted>
  <dcterms:created xsi:type="dcterms:W3CDTF">2024-10-17T05:34:18Z</dcterms:created>
  <dcterms:modified xsi:type="dcterms:W3CDTF">2026-01-16T08:21:33Z</dcterms:modified>
</cp:coreProperties>
</file>